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www\planilhas\dashboard\"/>
    </mc:Choice>
  </mc:AlternateContent>
  <xr:revisionPtr revIDLastSave="0" documentId="8_{E4E9956A-6E23-4D59-9256-E414D34C8424}" xr6:coauthVersionLast="47" xr6:coauthVersionMax="47" xr10:uidLastSave="{00000000-0000-0000-0000-000000000000}"/>
  <bookViews>
    <workbookView xWindow="-120" yWindow="-120" windowWidth="20730" windowHeight="1104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licer_Subscription_Type">#N/A</definedName>
  </definedNames>
  <calcPr calcId="191028"/>
  <pivotCaches>
    <pivotCache cacheId="129" r:id="rId5"/>
    <pivotCache cacheId="130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4" l="1"/>
  <c r="E512" i="4"/>
  <c r="G9" i="4"/>
</calcChain>
</file>

<file path=xl/sharedStrings.xml><?xml version="1.0" encoding="utf-8"?>
<sst xmlns="http://schemas.openxmlformats.org/spreadsheetml/2006/main" count="2053" uniqueCount="323">
  <si>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</si>
  <si>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</si>
  <si>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</si>
  <si>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</si>
  <si>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</si>
  <si>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</si>
  <si>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</si>
  <si>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</si>
  <si>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</si>
  <si>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</si>
  <si>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</si>
  <si>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</si>
  <si>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</si>
  <si>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</si>
  <si>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</si>
  <si>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</si>
  <si>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</si>
  <si>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</si>
  <si>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</si>
  <si>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</si>
  <si>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</si>
  <si>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</si>
  <si>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</si>
  <si>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</si>
  <si>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</si>
  <si>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</si>
  <si>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</si>
  <si>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</si>
  <si>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</si>
  <si>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</si>
  <si>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</si>
  <si>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</si>
  <si>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</si>
  <si>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</si>
  <si>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</si>
  <si>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</si>
  <si>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</si>
  <si>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</si>
  <si>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</si>
  <si>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</si>
  <si>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</si>
  <si>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</si>
  <si>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</si>
  <si>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</si>
  <si>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</si>
  <si>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</si>
  <si>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</si>
  <si>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</si>
  <si>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</si>
  <si>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</si>
  <si>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</si>
  <si>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</si>
  <si>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</si>
  <si>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</si>
  <si>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</si>
  <si>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</si>
  <si>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</si>
  <si>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</si>
  <si>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</si>
  <si>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</si>
  <si>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</si>
  <si>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</si>
  <si>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</si>
  <si>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</si>
  <si>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</si>
  <si>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</si>
  <si>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</si>
  <si>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</si>
  <si>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</si>
  <si>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</si>
  <si>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</si>
  <si>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</si>
  <si>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</si>
  <si>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</si>
  <si>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</si>
  <si>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</si>
  <si>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</si>
  <si>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</si>
  <si>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</si>
  <si>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</si>
  <si>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</si>
  <si>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</si>
  <si>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</si>
  <si>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</si>
  <si>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</si>
  <si>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</si>
  <si>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</si>
  <si>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</si>
  <si>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</si>
  <si>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</si>
  <si>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</si>
  <si>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</si>
  <si>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</si>
  <si>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</si>
  <si>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</si>
  <si>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</si>
  <si>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</si>
  <si>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</si>
  <si>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</si>
  <si>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</si>
  <si>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</si>
  <si>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</si>
  <si>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</si>
  <si>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</si>
  <si>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</si>
  <si>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</si>
  <si>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</si>
  <si>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</si>
  <si>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</si>
  <si>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</si>
  <si>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</si>
  <si>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</si>
  <si>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</si>
  <si>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</si>
  <si>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</si>
  <si>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</si>
  <si>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</si>
  <si>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</si>
  <si>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</si>
  <si>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</si>
  <si>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</si>
  <si>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</si>
  <si>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</si>
  <si>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</si>
  <si>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</si>
  <si>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</si>
  <si>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</si>
  <si>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</si>
  <si>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</si>
  <si>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</si>
  <si>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</si>
  <si>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</si>
  <si>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</si>
  <si>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</si>
  <si>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</si>
  <si>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</si>
  <si>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</si>
  <si>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</si>
  <si>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</si>
  <si>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</si>
  <si>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</si>
  <si>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</si>
  <si>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</si>
  <si>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</si>
  <si>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</si>
  <si>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</si>
  <si>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</si>
  <si>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</si>
  <si>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</si>
  <si>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</si>
  <si>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</si>
  <si>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</si>
  <si>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</si>
  <si>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</si>
  <si>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</si>
  <si>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</si>
  <si>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</si>
  <si>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</si>
  <si>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</si>
  <si>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</si>
  <si>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</si>
  <si>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</si>
  <si>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</si>
  <si>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</si>
  <si>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</si>
  <si>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</si>
  <si>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</si>
  <si>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</si>
  <si>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</si>
  <si>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</si>
  <si>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</si>
  <si>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</si>
  <si>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</si>
  <si>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</si>
  <si>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</si>
  <si>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</si>
  <si>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</si>
  <si>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</si>
  <si>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</si>
  <si>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</si>
  <si>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</si>
  <si>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</si>
  <si>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</si>
  <si>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</si>
  <si>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</si>
  <si>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</si>
  <si>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</si>
  <si>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</si>
  <si>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</si>
  <si>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</si>
  <si>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</si>
  <si>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</si>
  <si>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</si>
  <si>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</si>
  <si>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</si>
  <si>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</si>
  <si>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</si>
  <si>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</si>
  <si>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</si>
  <si>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</si>
  <si>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</si>
  <si>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</si>
  <si>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</si>
  <si>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</si>
  <si>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</si>
  <si>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</si>
  <si>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</si>
  <si>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</si>
  <si>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</si>
  <si>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</si>
  <si>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</si>
  <si>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</si>
  <si>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</si>
  <si>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</si>
  <si>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</si>
  <si>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</si>
  <si>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</si>
  <si>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</si>
  <si>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</si>
  <si>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</si>
  <si>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</si>
  <si>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</si>
  <si>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</si>
  <si>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</si>
  <si>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</si>
  <si>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</si>
  <si>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</si>
  <si>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</si>
  <si>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</si>
  <si>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</si>
  <si>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</si>
  <si>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</si>
  <si>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</si>
  <si>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</si>
  <si>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</si>
  <si>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</si>
  <si>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</si>
  <si>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</si>
  <si>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</si>
  <si>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</si>
  <si>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</si>
  <si>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</si>
  <si>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</si>
  <si>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</si>
  <si>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</si>
  <si>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</si>
  <si>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</si>
  <si>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</si>
  <si>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</si>
  <si>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</si>
  <si>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</si>
  <si>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</si>
  <si>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</si>
  <si>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</si>
  <si>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</si>
  <si>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</si>
  <si>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</si>
  <si>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</si>
  <si>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</si>
  <si>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</si>
  <si>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</si>
  <si>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</si>
  <si>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</si>
  <si>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</si>
  <si>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</si>
  <si>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</si>
  <si>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</si>
  <si>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</si>
  <si>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</si>
  <si>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</si>
  <si>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</si>
  <si>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</si>
  <si>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</si>
  <si>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</si>
  <si>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</si>
  <si>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</si>
  <si>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</si>
  <si>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</si>
  <si>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</si>
  <si>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</si>
  <si>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</si>
  <si>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</si>
  <si>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</si>
  <si>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</si>
  <si>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</si>
  <si>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</si>
  <si>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</si>
  <si>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</si>
  <si>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</si>
  <si>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</si>
  <si>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</si>
  <si>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</si>
  <si>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</si>
  <si>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</si>
  <si>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</si>
  <si>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</si>
  <si>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</si>
  <si>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</si>
  <si>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</si>
  <si>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</si>
  <si>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</si>
  <si>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</si>
  <si>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</si>
  <si>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</si>
  <si>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</si>
  <si>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</si>
  <si>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</si>
  <si>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</si>
  <si>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</si>
  <si>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</si>
  <si>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</si>
  <si>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</si>
  <si>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</si>
  <si>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Total Value</t>
  </si>
  <si>
    <t>Monthly Total</t>
  </si>
  <si>
    <t>Quarterly Total</t>
  </si>
  <si>
    <t>Grand Total</t>
  </si>
  <si>
    <t>Sum of Minecraft Season Pass Price</t>
  </si>
  <si>
    <t>(All)</t>
  </si>
  <si>
    <t>Sum of EA Play Season PassPrice</t>
  </si>
  <si>
    <t>XBOX GAME PASS SUBSCRIPTIONS SALE</t>
  </si>
  <si>
    <t>Sum of Total Value</t>
  </si>
  <si>
    <t>Annual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</si>
</sst>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R$&quot;\ * #,##0.00_-;\-&quot;R$&quot;\ * #,##0.00_-;_-&quot;R$&quot;\ * &quot;-&quot;??_-;_-@_-"/>
    <numFmt numFmtId="165" formatCode="[$R$-416]\ #,##0.00"/>
  </numFmts>
  <fonts count="8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2C55E"/>
      <name val="Aptos Narrow"/>
      <family val="2"/>
      <scheme val="minor"/>
    </font>
    <font>
      <sz val="11"/>
      <color rgb="FF000000"/>
      <name val="Segoe UI"/>
    </font>
    <font>
      <b/>
      <sz val="14"/>
      <color rgb="FF22C55E"/>
      <name val="Segoe UI"/>
    </font>
    <font>
      <sz val="30"/>
      <color rgb="FF00B05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2AE6B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164" fontId="0" fillId="0" borderId="0" xfId="0" applyNumberFormat="1"/>
    <xf numFmtId="0" fontId="4" fillId="4" borderId="0" xfId="0" applyFont="1" applyFill="1"/>
    <xf numFmtId="0" fontId="0" fillId="0" borderId="0" xfId="0" applyFill="1"/>
    <xf numFmtId="0" fontId="0" fillId="0" borderId="0" xfId="0" applyNumberFormat="1"/>
    <xf numFmtId="165" fontId="0" fillId="0" borderId="0" xfId="0" applyNumberFormat="1"/>
    <xf numFmtId="0" fontId="6" fillId="0" borderId="2" xfId="0" applyFont="1" applyBorder="1" applyAlignment="1">
      <alignment horizontal="left" indent="6"/>
    </xf>
    <xf numFmtId="0" fontId="5" fillId="0" borderId="2" xfId="0" applyFont="1" applyBorder="1" applyAlignment="1">
      <alignment horizontal="left" indent="6"/>
    </xf>
    <xf numFmtId="165" fontId="7" fillId="8" borderId="0" xfId="0" applyNumberFormat="1" applyFont="1" applyFill="1" applyBorder="1" applyAlignment="1">
      <alignment horizontal="right" vertical="center"/>
    </xf>
  </cellXfs>
  <cellStyles count="3">
    <cellStyle name="Currency" xfId="2" builtinId="4"/>
    <cellStyle name="Heading 1" xfId="1" builtinId="16"/>
    <cellStyle name="Normal" xfId="0" builtinId="0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5BF6A8"/>
      <color rgb="FF22C55E"/>
      <color rgb="FF5BF5A8"/>
      <color rgb="FF2AE6B1"/>
      <color rgb="FF000000"/>
      <color rgb="FFE8E6E9"/>
      <color rgb="FFFEFFFF"/>
      <color rgb="FFE0E0E0"/>
      <color rgb="FFEDEDED"/>
      <color rgb="FFF7F8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[dashboard_xbox.xlsx]D̳ashboard!PivotTable1</c:name>
    <c:fmtId val="1"/>
  </c:pivotSource>
  <c:chart>
    <c:autoTitleDeleted val="1"/>
    <c:pivotFmts>
      <c:pivotFmt>
        <c:idx val="0"/>
        <c:spPr>
          <a:solidFill>
            <a:srgbClr val="5BF5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5A8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2945181343547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5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5BF5A8"/>
          </a:solidFill>
          <a:ln>
            <a:noFill/>
          </a:ln>
          <a:effectLst/>
        </c:spPr>
        <c:dLbl>
          <c:idx val="0"/>
          <c:layout>
            <c:manualLayout>
              <c:x val="0"/>
              <c:y val="-1.2945181343547735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D̳ashboard!$D$467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5A8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FAF3-4D05-BB4C-BDF941A1E39B}"/>
              </c:ext>
            </c:extLst>
          </c:dPt>
          <c:dPt>
            <c:idx val="5"/>
            <c:invertIfNegative val="0"/>
            <c:bubble3D val="0"/>
            <c:spPr>
              <a:solidFill>
                <a:srgbClr val="5BF5A8"/>
              </a:solidFill>
              <a:ln>
                <a:noFill/>
              </a:ln>
              <a:effectLst/>
            </c:spPr>
          </c:dPt>
          <c:dLbls>
            <c:dLbl>
              <c:idx val="5"/>
              <c:layout>
                <c:manualLayout>
                  <c:x val="0"/>
                  <c:y val="-1.29451813435477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D̳ashboard!$B$468:$C$477</c:f>
              <c:multiLvlStrCache>
                <c:ptCount val="6"/>
                <c:lvl>
                  <c:pt idx="0">
                    <c:v>No</c:v>
                  </c:pt>
                  <c:pt idx="1">
                    <c:v>Yes</c:v>
                  </c:pt>
                  <c:pt idx="2">
                    <c:v>No</c:v>
                  </c:pt>
                  <c:pt idx="3">
                    <c:v>Yes</c:v>
                  </c:pt>
                  <c:pt idx="4">
                    <c:v>No</c:v>
                  </c:pt>
                  <c:pt idx="5">
                    <c:v>Yes</c:v>
                  </c:pt>
                </c:lvl>
                <c:lvl>
                  <c:pt idx="0">
                    <c:v>Annual</c:v>
                  </c:pt>
                  <c:pt idx="2">
                    <c:v>Monthly</c:v>
                  </c:pt>
                  <c:pt idx="4">
                    <c:v>Quarterly</c:v>
                  </c:pt>
                </c:lvl>
              </c:multiLvlStrCache>
            </c:multiLvlStrRef>
          </c:cat>
          <c:val>
            <c:numRef>
              <c:f>D̳ashboard!$D$468:$D$477</c:f>
              <c:numCache>
                <c:formatCode>_-"R$"\ * #,##0.00_-;\-"R$"\ * #,##0.00_-;_-"R$"\ * "-"??_-;_-@_-</c:formatCode>
                <c:ptCount val="6"/>
                <c:pt idx="0">
                  <c:v>217</c:v>
                </c:pt>
                <c:pt idx="1">
                  <c:v>1522</c:v>
                </c:pt>
                <c:pt idx="2">
                  <c:v>2820</c:v>
                </c:pt>
                <c:pt idx="3">
                  <c:v>747</c:v>
                </c:pt>
                <c:pt idx="4">
                  <c:v>806</c:v>
                </c:pt>
                <c:pt idx="5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3-473E-8A15-D1D38C3D9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0265224"/>
        <c:axId val="247145992"/>
      </c:barChart>
      <c:catAx>
        <c:axId val="2002652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7145992"/>
        <c:crosses val="autoZero"/>
        <c:auto val="1"/>
        <c:lblAlgn val="ctr"/>
        <c:lblOffset val="100"/>
        <c:noMultiLvlLbl val="0"/>
      </c:catAx>
      <c:valAx>
        <c:axId val="247145992"/>
        <c:scaling>
          <c:orientation val="minMax"/>
        </c:scaling>
        <c:delete val="1"/>
        <c:axPos val="b"/>
        <c:numFmt formatCode="_-&quot;R$&quot;\ * #,##0.00_-;\-&quot;R$&quot;\ * #,##0.00_-;_-&quot;R$&quot;\ * &quot;-&quot;??_-;_-@_-" sourceLinked="1"/>
        <c:majorTickMark val="none"/>
        <c:minorTickMark val="none"/>
        <c:tickLblPos val="nextTo"/>
        <c:crossAx val="2002652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5" Type="http://schemas.openxmlformats.org/officeDocument/2006/relationships/image" Target="../media/image5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  <a:ext uri="{147F2762-F138-4A5C-976F-8EAC2B608ADB}">
              <a16:predDERef xmlns:a16="http://schemas.microsoft.com/office/drawing/2014/main" pred="{151E63B9-A35B-41FF-3166-5E7F3045C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4</xdr:col>
      <xdr:colOff>0</xdr:colOff>
      <xdr:row>23</xdr:row>
      <xdr:rowOff>104774</xdr:rowOff>
    </xdr:from>
    <xdr:to>
      <xdr:col>6</xdr:col>
      <xdr:colOff>330276</xdr:colOff>
      <xdr:row>27</xdr:row>
      <xdr:rowOff>95250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  <a:ext uri="{147F2762-F138-4A5C-976F-8EAC2B608ADB}">
              <a16:predDERef xmlns:a16="http://schemas.microsoft.com/office/drawing/2014/main" pred="{34E653DD-5BBB-B7D9-BDBD-2F59393458E2}"/>
            </a:ext>
          </a:extLst>
        </xdr:cNvPr>
        <xdr:cNvGrpSpPr/>
      </xdr:nvGrpSpPr>
      <xdr:grpSpPr>
        <a:xfrm>
          <a:off x="2438400" y="4638674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133350</xdr:colOff>
      <xdr:row>20</xdr:row>
      <xdr:rowOff>114300</xdr:rowOff>
    </xdr:from>
    <xdr:to>
      <xdr:col>9</xdr:col>
      <xdr:colOff>647700</xdr:colOff>
      <xdr:row>35</xdr:row>
      <xdr:rowOff>85725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544849D4-67A9-7C17-AE00-4660035D6A16}"/>
            </a:ext>
            <a:ext uri="{147F2762-F138-4A5C-976F-8EAC2B608ADB}">
              <a16:predDERef xmlns:a16="http://schemas.microsoft.com/office/drawing/2014/main" pred="{BCC60B31-9FA6-7FBE-0A2F-E17E791181A6}"/>
            </a:ext>
          </a:extLst>
        </xdr:cNvPr>
        <xdr:cNvSpPr/>
      </xdr:nvSpPr>
      <xdr:spPr>
        <a:xfrm>
          <a:off x="2657475" y="3390900"/>
          <a:ext cx="9667875" cy="28289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 editAs="oneCell">
    <xdr:from>
      <xdr:col>0</xdr:col>
      <xdr:colOff>1400175</xdr:colOff>
      <xdr:row>0</xdr:row>
      <xdr:rowOff>152400</xdr:rowOff>
    </xdr:from>
    <xdr:to>
      <xdr:col>1</xdr:col>
      <xdr:colOff>533400</xdr:colOff>
      <xdr:row>4</xdr:row>
      <xdr:rowOff>19050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205B5A-DC76-42C1-BAFB-5B8DEE28BFF2}"/>
            </a:ext>
            <a:ext uri="{147F2762-F138-4A5C-976F-8EAC2B608ADB}">
              <a16:predDERef xmlns:a16="http://schemas.microsoft.com/office/drawing/2014/main" pred="{544849D4-67A9-7C17-AE00-4660035D6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10" t="14480" r="71600" b="17235"/>
        <a:stretch>
          <a:fillRect/>
        </a:stretch>
      </xdr:blipFill>
      <xdr:spPr>
        <a:xfrm>
          <a:off x="1400175" y="152400"/>
          <a:ext cx="590550" cy="676275"/>
        </a:xfrm>
        <a:prstGeom prst="rect">
          <a:avLst/>
        </a:prstGeom>
      </xdr:spPr>
    </xdr:pic>
    <xdr:clientData/>
  </xdr:twoCellAnchor>
  <xdr:twoCellAnchor>
    <xdr:from>
      <xdr:col>1</xdr:col>
      <xdr:colOff>1924050</xdr:colOff>
      <xdr:row>3</xdr:row>
      <xdr:rowOff>85725</xdr:rowOff>
    </xdr:from>
    <xdr:to>
      <xdr:col>5</xdr:col>
      <xdr:colOff>0</xdr:colOff>
      <xdr:row>8</xdr:row>
      <xdr:rowOff>133350</xdr:rowOff>
    </xdr:to>
    <xdr:sp macro="" textlink="">
      <xdr:nvSpPr>
        <xdr:cNvPr id="12" name="Round Same Side Corner Rectangle 11">
          <a:extLst>
            <a:ext uri="{FF2B5EF4-FFF2-40B4-BE49-F238E27FC236}">
              <a16:creationId xmlns:a16="http://schemas.microsoft.com/office/drawing/2014/main" id="{83065787-8ACB-059D-77FF-D24534F39BB9}"/>
            </a:ext>
            <a:ext uri="{147F2762-F138-4A5C-976F-8EAC2B608ADB}">
              <a16:predDERef xmlns:a16="http://schemas.microsoft.com/office/drawing/2014/main" pred="{705F4B61-7E50-A556-4D5B-D4AC85F80702}"/>
            </a:ext>
          </a:extLst>
        </xdr:cNvPr>
        <xdr:cNvSpPr/>
      </xdr:nvSpPr>
      <xdr:spPr>
        <a:xfrm>
          <a:off x="3381375" y="800100"/>
          <a:ext cx="3714750" cy="476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TOTAL SUBSCRIPTIONS EA PLAY SEASON PASS </a:t>
          </a:r>
        </a:p>
      </xdr:txBody>
    </xdr:sp>
    <xdr:clientData/>
  </xdr:twoCellAnchor>
  <xdr:twoCellAnchor editAs="oneCell">
    <xdr:from>
      <xdr:col>2</xdr:col>
      <xdr:colOff>38100</xdr:colOff>
      <xdr:row>5</xdr:row>
      <xdr:rowOff>66675</xdr:rowOff>
    </xdr:from>
    <xdr:to>
      <xdr:col>2</xdr:col>
      <xdr:colOff>1257300</xdr:colOff>
      <xdr:row>14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AD84165-64C2-469B-B77D-3E2B40E1FEEB}"/>
            </a:ext>
            <a:ext uri="{147F2762-F138-4A5C-976F-8EAC2B608ADB}">
              <a16:predDERef xmlns:a16="http://schemas.microsoft.com/office/drawing/2014/main" pred="{172DFAFB-7F87-4180-8EF4-1C5331166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29000" y="1009650"/>
          <a:ext cx="1219200" cy="1219200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8</xdr:row>
      <xdr:rowOff>66675</xdr:rowOff>
    </xdr:from>
    <xdr:to>
      <xdr:col>7</xdr:col>
      <xdr:colOff>142875</xdr:colOff>
      <xdr:row>12</xdr:row>
      <xdr:rowOff>133350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D2EC347-1E86-58F9-C990-799C7297A1A2}"/>
            </a:ext>
            <a:ext uri="{147F2762-F138-4A5C-976F-8EAC2B608ADB}">
              <a16:predDERef xmlns:a16="http://schemas.microsoft.com/office/drawing/2014/main" pred="{CAD84165-64C2-469B-B77D-3E2B40E1F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1209675"/>
          <a:ext cx="1352550" cy="742950"/>
        </a:xfrm>
        <a:prstGeom prst="rect">
          <a:avLst/>
        </a:prstGeom>
      </xdr:spPr>
    </xdr:pic>
    <xdr:clientData/>
  </xdr:twoCellAnchor>
  <xdr:twoCellAnchor>
    <xdr:from>
      <xdr:col>6</xdr:col>
      <xdr:colOff>9525</xdr:colOff>
      <xdr:row>3</xdr:row>
      <xdr:rowOff>0</xdr:rowOff>
    </xdr:from>
    <xdr:to>
      <xdr:col>10</xdr:col>
      <xdr:colOff>9525</xdr:colOff>
      <xdr:row>8</xdr:row>
      <xdr:rowOff>47625</xdr:rowOff>
    </xdr:to>
    <xdr:sp macro="" textlink="">
      <xdr:nvSpPr>
        <xdr:cNvPr id="15" name="Round Same Side Corner Rectangle 14">
          <a:extLst>
            <a:ext uri="{FF2B5EF4-FFF2-40B4-BE49-F238E27FC236}">
              <a16:creationId xmlns:a16="http://schemas.microsoft.com/office/drawing/2014/main" id="{172DFAFB-7F87-4180-8EF4-1C5331166619}"/>
            </a:ext>
            <a:ext uri="{147F2762-F138-4A5C-976F-8EAC2B608ADB}">
              <a16:predDERef xmlns:a16="http://schemas.microsoft.com/office/drawing/2014/main" pred="{3D2EC347-1E86-58F9-C990-799C7297A1A2}"/>
            </a:ext>
          </a:extLst>
        </xdr:cNvPr>
        <xdr:cNvSpPr/>
      </xdr:nvSpPr>
      <xdr:spPr>
        <a:xfrm>
          <a:off x="7562850" y="714375"/>
          <a:ext cx="3695700" cy="6000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TOTAL SUBSCRIPTIONS MINECRAFT SEASON PASS </a:t>
          </a:r>
        </a:p>
      </xdr:txBody>
    </xdr:sp>
    <xdr:clientData/>
  </xdr:twoCellAnchor>
  <xdr:twoCellAnchor>
    <xdr:from>
      <xdr:col>2</xdr:col>
      <xdr:colOff>133350</xdr:colOff>
      <xdr:row>18</xdr:row>
      <xdr:rowOff>28575</xdr:rowOff>
    </xdr:from>
    <xdr:to>
      <xdr:col>9</xdr:col>
      <xdr:colOff>657225</xdr:colOff>
      <xdr:row>20</xdr:row>
      <xdr:rowOff>123825</xdr:rowOff>
    </xdr:to>
    <xdr:sp macro="" textlink="">
      <xdr:nvSpPr>
        <xdr:cNvPr id="4" name="Round Same Side Corner Rectangle 3">
          <a:extLst>
            <a:ext uri="{FF2B5EF4-FFF2-40B4-BE49-F238E27FC236}">
              <a16:creationId xmlns:a16="http://schemas.microsoft.com/office/drawing/2014/main" id="{C9197742-11B7-4217-82EE-01DD866BEFB1}"/>
            </a:ext>
            <a:ext uri="{147F2762-F138-4A5C-976F-8EAC2B608ADB}">
              <a16:predDERef xmlns:a16="http://schemas.microsoft.com/office/drawing/2014/main" pred="{172DFAFB-7F87-4180-8EF4-1C5331166619}"/>
            </a:ext>
          </a:extLst>
        </xdr:cNvPr>
        <xdr:cNvSpPr/>
      </xdr:nvSpPr>
      <xdr:spPr>
        <a:xfrm>
          <a:off x="2333625" y="2924175"/>
          <a:ext cx="8667750" cy="476250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wrap="square" lIns="91440" tIns="45720" rIns="91440" bIns="45720" rtlCol="0" anchor="ctr"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100">
              <a:solidFill>
                <a:schemeClr val="bg1"/>
              </a:solidFill>
              <a:latin typeface="+mn-lt"/>
              <a:ea typeface="+mn-lt"/>
              <a:cs typeface="+mn-lt"/>
            </a:rPr>
            <a:t>TOTAL SUBSCRIPTIONS  PASS XBOX GAME PASS</a:t>
          </a:r>
        </a:p>
      </xdr:txBody>
    </xdr:sp>
    <xdr:clientData/>
  </xdr:twoCellAnchor>
  <xdr:twoCellAnchor editAs="absolute">
    <xdr:from>
      <xdr:col>0</xdr:col>
      <xdr:colOff>0</xdr:colOff>
      <xdr:row>8</xdr:row>
      <xdr:rowOff>228600</xdr:rowOff>
    </xdr:from>
    <xdr:to>
      <xdr:col>0</xdr:col>
      <xdr:colOff>1447800</xdr:colOff>
      <xdr:row>16</xdr:row>
      <xdr:rowOff>76200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Subscription Type">
              <a:extLst>
                <a:ext uri="{FF2B5EF4-FFF2-40B4-BE49-F238E27FC236}">
                  <a16:creationId xmlns:a16="http://schemas.microsoft.com/office/drawing/2014/main" id="{5B424452-C7EF-D2E6-6DAF-E52DE87E9317}"/>
                </a:ext>
                <a:ext uri="{147F2762-F138-4A5C-976F-8EAC2B608ADB}">
                  <a16:predDERef xmlns:a16="http://schemas.microsoft.com/office/drawing/2014/main" pred="{C9197742-11B7-4217-82EE-01DD866BEFB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990850"/>
              <a:ext cx="1447800" cy="19335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>
    <xdr:from>
      <xdr:col>2</xdr:col>
      <xdr:colOff>57150</xdr:colOff>
      <xdr:row>20</xdr:row>
      <xdr:rowOff>47625</xdr:rowOff>
    </xdr:from>
    <xdr:to>
      <xdr:col>5</xdr:col>
      <xdr:colOff>1352550</xdr:colOff>
      <xdr:row>35</xdr:row>
      <xdr:rowOff>133350</xdr:rowOff>
    </xdr:to>
    <xdr:graphicFrame macro="">
      <xdr:nvGraphicFramePr>
        <xdr:cNvPr id="17" name="Chart 7">
          <a:extLst>
            <a:ext uri="{FF2B5EF4-FFF2-40B4-BE49-F238E27FC236}">
              <a16:creationId xmlns:a16="http://schemas.microsoft.com/office/drawing/2014/main" id="{BCC60B31-9FA6-7FBE-0A2F-E17E791181A6}"/>
            </a:ext>
            <a:ext uri="{147F2762-F138-4A5C-976F-8EAC2B608ADB}">
              <a16:predDERef xmlns:a16="http://schemas.microsoft.com/office/drawing/2014/main" pred="{5B424452-C7EF-D2E6-6DAF-E52DE87E93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295275</xdr:colOff>
      <xdr:row>0</xdr:row>
      <xdr:rowOff>123825</xdr:rowOff>
    </xdr:from>
    <xdr:to>
      <xdr:col>0</xdr:col>
      <xdr:colOff>990600</xdr:colOff>
      <xdr:row>4</xdr:row>
      <xdr:rowOff>9525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7BB1A411-F56F-4F9F-A35A-6E2CB1B649FD}"/>
            </a:ext>
            <a:ext uri="{147F2762-F138-4A5C-976F-8EAC2B608ADB}">
              <a16:predDERef xmlns:a16="http://schemas.microsoft.com/office/drawing/2014/main" pred="{BCC60B31-9FA6-7FBE-0A2F-E17E791181A6}"/>
            </a:ext>
          </a:extLst>
        </xdr:cNvPr>
        <xdr:cNvSpPr/>
      </xdr:nvSpPr>
      <xdr:spPr>
        <a:xfrm>
          <a:off x="295275" y="1238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tlCol="0" anchor="t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pt-BR" sz="1100" kern="1200"/>
        </a:p>
      </xdr:txBody>
    </xdr:sp>
    <xdr:clientData/>
  </xdr:twoCellAnchor>
  <xdr:twoCellAnchor>
    <xdr:from>
      <xdr:col>0</xdr:col>
      <xdr:colOff>0</xdr:colOff>
      <xdr:row>5</xdr:row>
      <xdr:rowOff>85725</xdr:rowOff>
    </xdr:from>
    <xdr:to>
      <xdr:col>0</xdr:col>
      <xdr:colOff>1409700</xdr:colOff>
      <xdr:row>8</xdr:row>
      <xdr:rowOff>142875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023E6A8B-C4FA-E436-4A6C-4CBC4266EFCE}"/>
            </a:ext>
            <a:ext uri="{147F2762-F138-4A5C-976F-8EAC2B608ADB}">
              <a16:predDERef xmlns:a16="http://schemas.microsoft.com/office/drawing/2014/main" pred="{7BB1A411-F56F-4F9F-A35A-6E2CB1B649FD}"/>
            </a:ext>
          </a:extLst>
        </xdr:cNvPr>
        <xdr:cNvSpPr/>
      </xdr:nvSpPr>
      <xdr:spPr>
        <a:xfrm>
          <a:off x="0" y="1028700"/>
          <a:ext cx="1409700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solidFill>
                <a:schemeClr val="lt1"/>
              </a:solidFill>
              <a:latin typeface="+mn-lt"/>
              <a:ea typeface="+mn-lt"/>
              <a:cs typeface="+mn-lt"/>
            </a:rPr>
            <a:t>Bem vinda !</a:t>
          </a:r>
        </a:p>
      </xdr:txBody>
    </xdr:sp>
    <xdr:clientData/>
  </xdr:twoCellAnchor>
  <xdr:twoCellAnchor>
    <xdr:from>
      <xdr:col>1</xdr:col>
      <xdr:colOff>142875</xdr:colOff>
      <xdr:row>434</xdr:row>
      <xdr:rowOff>95250</xdr:rowOff>
    </xdr:from>
    <xdr:to>
      <xdr:col>4</xdr:col>
      <xdr:colOff>657225</xdr:colOff>
      <xdr:row>442</xdr:row>
      <xdr:rowOff>171450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FF7840B-02CD-E57B-1445-462BE237139A}"/>
            </a:ext>
            <a:ext uri="{147F2762-F138-4A5C-976F-8EAC2B608ADB}">
              <a16:predDERef xmlns:a16="http://schemas.microsoft.com/office/drawing/2014/main" pred="{023E6A8B-C4FA-E436-4A6C-4CBC4266EFCE}"/>
            </a:ext>
          </a:extLst>
        </xdr:cNvPr>
        <xdr:cNvSpPr/>
      </xdr:nvSpPr>
      <xdr:spPr>
        <a:xfrm>
          <a:off x="1600200" y="82238850"/>
          <a:ext cx="3810000" cy="1600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  <xdr:twoCellAnchor>
    <xdr:from>
      <xdr:col>1</xdr:col>
      <xdr:colOff>9525</xdr:colOff>
      <xdr:row>506</xdr:row>
      <xdr:rowOff>66675</xdr:rowOff>
    </xdr:from>
    <xdr:to>
      <xdr:col>5</xdr:col>
      <xdr:colOff>152400</xdr:colOff>
      <xdr:row>518</xdr:row>
      <xdr:rowOff>76200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B72C902-E1E4-4D2D-80D2-CBD9AA0D3DD0}"/>
            </a:ext>
            <a:ext uri="{147F2762-F138-4A5C-976F-8EAC2B608ADB}">
              <a16:predDERef xmlns:a16="http://schemas.microsoft.com/office/drawing/2014/main" pred="{3FF7840B-02CD-E57B-1445-462BE237139A}"/>
            </a:ext>
          </a:extLst>
        </xdr:cNvPr>
        <xdr:cNvSpPr/>
      </xdr:nvSpPr>
      <xdr:spPr>
        <a:xfrm>
          <a:off x="1466850" y="95926275"/>
          <a:ext cx="4781550" cy="2295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1</xdr:col>
      <xdr:colOff>9525</xdr:colOff>
      <xdr:row>548</xdr:row>
      <xdr:rowOff>19050</xdr:rowOff>
    </xdr:from>
    <xdr:to>
      <xdr:col>3</xdr:col>
      <xdr:colOff>1085850</xdr:colOff>
      <xdr:row>556</xdr:row>
      <xdr:rowOff>95250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EA7E8D1F-21B7-47C7-8E94-6EFAA7C7D379}"/>
            </a:ext>
            <a:ext uri="{147F2762-F138-4A5C-976F-8EAC2B608ADB}">
              <a16:predDERef xmlns:a16="http://schemas.microsoft.com/office/drawing/2014/main" pred="{FB72C902-E1E4-4D2D-80D2-CBD9AA0D3DD0}"/>
            </a:ext>
          </a:extLst>
        </xdr:cNvPr>
        <xdr:cNvSpPr/>
      </xdr:nvSpPr>
      <xdr:spPr>
        <a:xfrm>
          <a:off x="1466850" y="103879650"/>
          <a:ext cx="3810000" cy="16002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/>
        </a:p>
      </xdr:txBody>
    </xdr:sp>
    <xdr:clientData/>
  </xdr:twoCellAnchor>
  <xdr:twoCellAnchor>
    <xdr:from>
      <xdr:col>0</xdr:col>
      <xdr:colOff>1447800</xdr:colOff>
      <xdr:row>465</xdr:row>
      <xdr:rowOff>171450</xdr:rowOff>
    </xdr:from>
    <xdr:to>
      <xdr:col>4</xdr:col>
      <xdr:colOff>57150</xdr:colOff>
      <xdr:row>477</xdr:row>
      <xdr:rowOff>28575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C09AE874-70D4-9DBB-74D8-2139D5D7DBDA}"/>
            </a:ext>
            <a:ext uri="{147F2762-F138-4A5C-976F-8EAC2B608ADB}">
              <a16:predDERef xmlns:a16="http://schemas.microsoft.com/office/drawing/2014/main" pred="{EA7E8D1F-21B7-47C7-8E94-6EFAA7C7D379}"/>
            </a:ext>
          </a:extLst>
        </xdr:cNvPr>
        <xdr:cNvSpPr/>
      </xdr:nvSpPr>
      <xdr:spPr>
        <a:xfrm>
          <a:off x="1447800" y="88220550"/>
          <a:ext cx="3952875" cy="21431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501340625" createdVersion="8" refreshedVersion="8" minRefreshableVersion="3" recordCount="293" xr:uid="{7D0ECFC2-3568-4DB4-BA73-0740390BD1F1}">
  <cacheSource type="worksheet">
    <worksheetSource ref="A1:M294" sheet="B̳ases"/>
  </cacheSource>
  <cacheFields count="13">
    <cacheField name="Subscriber ID" numFmtId="0">
      <sharedItems containsSemiMixedTypes="0" containsString="0" containsNumber="1" containsInteger="1" minValue="3231" maxValue="3523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5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142021686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32.642878240738" createdVersion="8" refreshedVersion="8" minRefreshableVersion="3" recordCount="295" xr:uid="{1D43D4FF-3BED-4350-9450-8F8A312BD85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 count="2">
        <n v="20"/>
        <n v="0"/>
      </sharedItems>
    </cacheField>
    <cacheField name="Coupon Value" numFmtId="164">
      <sharedItems containsSemiMixedTypes="0" containsString="0" containsNumber="1" containsInteger="1" minValue="0" maxValue="20"/>
    </cacheField>
    <cacheField name="Total Value" numFmtId="16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4361483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3">
  <r>
    <n v="3231"/>
    <s v="João Silva"/>
    <x v="0"/>
    <d v="2024-01-01T00:00:00"/>
    <x v="0"/>
    <n v="15"/>
    <x v="0"/>
    <x v="0"/>
    <x v="0"/>
    <s v="Yes"/>
    <n v="20"/>
    <n v="5"/>
    <n v="60"/>
  </r>
  <r>
    <n v="3232"/>
    <s v="Maria Oliveira"/>
    <x v="1"/>
    <d v="2024-01-15T00:00:00"/>
    <x v="1"/>
    <n v="5"/>
    <x v="1"/>
    <x v="1"/>
    <x v="1"/>
    <s v="No"/>
    <n v="0"/>
    <n v="0"/>
    <n v="5"/>
  </r>
  <r>
    <n v="3233"/>
    <s v="Lucas Fernandes"/>
    <x v="2"/>
    <d v="2024-02-10T00:00:00"/>
    <x v="0"/>
    <n v="10"/>
    <x v="2"/>
    <x v="1"/>
    <x v="1"/>
    <s v="Yes"/>
    <n v="20"/>
    <n v="10"/>
    <n v="20"/>
  </r>
  <r>
    <n v="3234"/>
    <s v="Ana Souza"/>
    <x v="0"/>
    <d v="2024-02-20T00:00:00"/>
    <x v="1"/>
    <n v="15"/>
    <x v="0"/>
    <x v="0"/>
    <x v="0"/>
    <s v="Yes"/>
    <n v="20"/>
    <n v="3"/>
    <n v="62"/>
  </r>
  <r>
    <n v="3235"/>
    <s v="Pedro Gonçalves"/>
    <x v="1"/>
    <d v="2024-03-05T00:00:00"/>
    <x v="0"/>
    <n v="5"/>
    <x v="0"/>
    <x v="1"/>
    <x v="1"/>
    <s v="No"/>
    <n v="0"/>
    <n v="1"/>
    <n v="4"/>
  </r>
  <r>
    <n v="3236"/>
    <s v="Felipe Costa"/>
    <x v="2"/>
    <d v="2024-03-02T00:00:00"/>
    <x v="1"/>
    <n v="10"/>
    <x v="0"/>
    <x v="1"/>
    <x v="1"/>
    <s v="Yes"/>
    <n v="20"/>
    <n v="2"/>
    <n v="28"/>
  </r>
  <r>
    <n v="3237"/>
    <s v="Camila Ribeiro"/>
    <x v="0"/>
    <d v="2024-03-03T00:00:00"/>
    <x v="0"/>
    <n v="15"/>
    <x v="2"/>
    <x v="0"/>
    <x v="0"/>
    <s v="Yes"/>
    <n v="20"/>
    <n v="10"/>
    <n v="55"/>
  </r>
  <r>
    <n v="3238"/>
    <s v="André Mendes"/>
    <x v="1"/>
    <d v="2024-03-04T00:00:00"/>
    <x v="0"/>
    <n v="5"/>
    <x v="1"/>
    <x v="1"/>
    <x v="1"/>
    <s v="No"/>
    <n v="0"/>
    <n v="0"/>
    <n v="5"/>
  </r>
  <r>
    <n v="3239"/>
    <s v="Sofia Almeida"/>
    <x v="0"/>
    <d v="2024-03-05T00:00:00"/>
    <x v="1"/>
    <n v="15"/>
    <x v="0"/>
    <x v="0"/>
    <x v="0"/>
    <s v="Yes"/>
    <n v="20"/>
    <n v="5"/>
    <n v="60"/>
  </r>
  <r>
    <n v="3240"/>
    <s v="Bruno Martins"/>
    <x v="2"/>
    <d v="2024-03-06T00:00:00"/>
    <x v="0"/>
    <n v="10"/>
    <x v="2"/>
    <x v="1"/>
    <x v="1"/>
    <s v="Yes"/>
    <n v="20"/>
    <n v="15"/>
    <n v="15"/>
  </r>
  <r>
    <n v="3241"/>
    <s v="Rita Castro"/>
    <x v="1"/>
    <d v="2024-03-07T00:00:00"/>
    <x v="1"/>
    <n v="5"/>
    <x v="0"/>
    <x v="1"/>
    <x v="1"/>
    <s v="No"/>
    <n v="0"/>
    <n v="1"/>
    <n v="4"/>
  </r>
  <r>
    <n v="3242"/>
    <s v="Marco Túlio"/>
    <x v="0"/>
    <d v="2024-03-08T00:00:00"/>
    <x v="0"/>
    <n v="15"/>
    <x v="1"/>
    <x v="0"/>
    <x v="0"/>
    <s v="Yes"/>
    <n v="20"/>
    <n v="20"/>
    <n v="45"/>
  </r>
  <r>
    <n v="3243"/>
    <s v="Lívia Silveira"/>
    <x v="2"/>
    <d v="2024-03-09T00:00:00"/>
    <x v="1"/>
    <n v="10"/>
    <x v="0"/>
    <x v="1"/>
    <x v="1"/>
    <s v="Yes"/>
    <n v="20"/>
    <n v="10"/>
    <n v="20"/>
  </r>
  <r>
    <n v="3244"/>
    <s v="Diogo Sousa"/>
    <x v="1"/>
    <d v="2024-03-10T00:00:00"/>
    <x v="0"/>
    <n v="5"/>
    <x v="2"/>
    <x v="1"/>
    <x v="1"/>
    <s v="No"/>
    <n v="0"/>
    <n v="0"/>
    <n v="5"/>
  </r>
  <r>
    <n v="3245"/>
    <s v="Fernanda Lima"/>
    <x v="0"/>
    <d v="2024-03-11T00:00:00"/>
    <x v="1"/>
    <n v="15"/>
    <x v="0"/>
    <x v="0"/>
    <x v="0"/>
    <s v="Yes"/>
    <n v="20"/>
    <n v="8"/>
    <n v="57"/>
  </r>
  <r>
    <n v="3246"/>
    <s v="Caio Pereira"/>
    <x v="2"/>
    <d v="2024-03-12T00:00:00"/>
    <x v="0"/>
    <n v="10"/>
    <x v="1"/>
    <x v="1"/>
    <x v="1"/>
    <s v="Yes"/>
    <n v="20"/>
    <n v="12"/>
    <n v="18"/>
  </r>
  <r>
    <n v="3247"/>
    <s v="Beatriz Gomes"/>
    <x v="1"/>
    <d v="2024-03-13T00:00:00"/>
    <x v="1"/>
    <n v="5"/>
    <x v="0"/>
    <x v="1"/>
    <x v="1"/>
    <s v="No"/>
    <n v="0"/>
    <n v="2"/>
    <n v="3"/>
  </r>
  <r>
    <n v="3248"/>
    <s v="Cesar Oliveira"/>
    <x v="0"/>
    <d v="2024-03-14T00:00:00"/>
    <x v="0"/>
    <n v="15"/>
    <x v="2"/>
    <x v="0"/>
    <x v="0"/>
    <s v="Yes"/>
    <n v="20"/>
    <n v="7"/>
    <n v="58"/>
  </r>
  <r>
    <n v="3249"/>
    <s v="Débora Machado"/>
    <x v="2"/>
    <d v="2024-03-15T00:00:00"/>
    <x v="1"/>
    <n v="10"/>
    <x v="0"/>
    <x v="1"/>
    <x v="1"/>
    <s v="Yes"/>
    <n v="20"/>
    <n v="5"/>
    <n v="25"/>
  </r>
  <r>
    <n v="3250"/>
    <s v="Eduardo Vargas"/>
    <x v="1"/>
    <d v="2024-03-16T00:00:00"/>
    <x v="0"/>
    <n v="5"/>
    <x v="1"/>
    <x v="1"/>
    <x v="1"/>
    <s v="No"/>
    <n v="0"/>
    <n v="0"/>
    <n v="5"/>
  </r>
  <r>
    <n v="3251"/>
    <s v="Gabriela Santos"/>
    <x v="0"/>
    <d v="2024-03-17T00:00:00"/>
    <x v="1"/>
    <n v="15"/>
    <x v="0"/>
    <x v="0"/>
    <x v="0"/>
    <s v="Yes"/>
    <n v="20"/>
    <n v="3"/>
    <n v="62"/>
  </r>
  <r>
    <n v="3252"/>
    <s v="Henrique Dias"/>
    <x v="2"/>
    <d v="2024-03-18T00:00:00"/>
    <x v="0"/>
    <n v="10"/>
    <x v="2"/>
    <x v="1"/>
    <x v="1"/>
    <s v="Yes"/>
    <n v="20"/>
    <n v="15"/>
    <n v="15"/>
  </r>
  <r>
    <n v="3253"/>
    <s v="Isabela Moreira"/>
    <x v="1"/>
    <d v="2024-03-19T00:00:00"/>
    <x v="1"/>
    <n v="5"/>
    <x v="0"/>
    <x v="1"/>
    <x v="1"/>
    <s v="No"/>
    <n v="0"/>
    <n v="1"/>
    <n v="4"/>
  </r>
  <r>
    <n v="3254"/>
    <s v="Joaquim Barbosa"/>
    <x v="0"/>
    <d v="2024-03-20T00:00:00"/>
    <x v="0"/>
    <n v="15"/>
    <x v="1"/>
    <x v="0"/>
    <x v="0"/>
    <s v="Yes"/>
    <n v="20"/>
    <n v="20"/>
    <n v="45"/>
  </r>
  <r>
    <n v="3255"/>
    <s v="Lara Rocha"/>
    <x v="2"/>
    <d v="2024-03-21T00:00:00"/>
    <x v="1"/>
    <n v="10"/>
    <x v="0"/>
    <x v="1"/>
    <x v="1"/>
    <s v="Yes"/>
    <n v="20"/>
    <n v="10"/>
    <n v="20"/>
  </r>
  <r>
    <n v="3256"/>
    <s v="Matheus Silva"/>
    <x v="1"/>
    <d v="2024-03-22T00:00:00"/>
    <x v="0"/>
    <n v="5"/>
    <x v="2"/>
    <x v="1"/>
    <x v="1"/>
    <s v="No"/>
    <n v="0"/>
    <n v="0"/>
    <n v="5"/>
  </r>
  <r>
    <n v="3257"/>
    <s v="Nicole Costa"/>
    <x v="0"/>
    <d v="2024-03-23T00:00:00"/>
    <x v="1"/>
    <n v="15"/>
    <x v="0"/>
    <x v="0"/>
    <x v="0"/>
    <s v="Yes"/>
    <n v="20"/>
    <n v="5"/>
    <n v="60"/>
  </r>
  <r>
    <n v="3258"/>
    <s v="Otávio Mendonça"/>
    <x v="2"/>
    <d v="2024-03-24T00:00:00"/>
    <x v="0"/>
    <n v="10"/>
    <x v="1"/>
    <x v="1"/>
    <x v="1"/>
    <s v="Yes"/>
    <n v="20"/>
    <n v="15"/>
    <n v="15"/>
  </r>
  <r>
    <n v="3259"/>
    <s v="Paula Ferreira"/>
    <x v="1"/>
    <d v="2024-03-25T00:00:00"/>
    <x v="1"/>
    <n v="5"/>
    <x v="0"/>
    <x v="1"/>
    <x v="1"/>
    <s v="No"/>
    <n v="0"/>
    <n v="1"/>
    <n v="4"/>
  </r>
  <r>
    <n v="3260"/>
    <s v="Raquel Alves"/>
    <x v="0"/>
    <d v="2024-03-26T00:00:00"/>
    <x v="0"/>
    <n v="15"/>
    <x v="2"/>
    <x v="0"/>
    <x v="0"/>
    <s v="Yes"/>
    <n v="20"/>
    <n v="7"/>
    <n v="58"/>
  </r>
  <r>
    <n v="3261"/>
    <s v="Samuel Pires"/>
    <x v="2"/>
    <d v="2024-03-27T00:00:00"/>
    <x v="1"/>
    <n v="10"/>
    <x v="0"/>
    <x v="1"/>
    <x v="1"/>
    <s v="Yes"/>
    <n v="20"/>
    <n v="10"/>
    <n v="20"/>
  </r>
  <r>
    <n v="3262"/>
    <s v="Tânia Barros"/>
    <x v="1"/>
    <d v="2024-03-28T00:00:00"/>
    <x v="0"/>
    <n v="5"/>
    <x v="1"/>
    <x v="1"/>
    <x v="1"/>
    <s v="No"/>
    <n v="0"/>
    <n v="0"/>
    <n v="5"/>
  </r>
  <r>
    <n v="3263"/>
    <s v="Vinicius Lima"/>
    <x v="0"/>
    <d v="2024-03-29T00:00:00"/>
    <x v="1"/>
    <n v="15"/>
    <x v="0"/>
    <x v="0"/>
    <x v="0"/>
    <s v="Yes"/>
    <n v="20"/>
    <n v="3"/>
    <n v="62"/>
  </r>
  <r>
    <n v="3264"/>
    <s v="Yasmin Teixeira"/>
    <x v="2"/>
    <d v="2024-03-30T00:00:00"/>
    <x v="0"/>
    <n v="10"/>
    <x v="2"/>
    <x v="1"/>
    <x v="1"/>
    <s v="Yes"/>
    <n v="20"/>
    <n v="15"/>
    <n v="15"/>
  </r>
  <r>
    <n v="3265"/>
    <s v="Zé Carlos"/>
    <x v="1"/>
    <d v="2024-03-31T00:00:00"/>
    <x v="1"/>
    <n v="5"/>
    <x v="0"/>
    <x v="1"/>
    <x v="1"/>
    <s v="No"/>
    <n v="0"/>
    <n v="1"/>
    <n v="4"/>
  </r>
  <r>
    <n v="3266"/>
    <s v="Amanda Nogueira"/>
    <x v="1"/>
    <d v="2024-04-01T00:00:00"/>
    <x v="0"/>
    <n v="5"/>
    <x v="0"/>
    <x v="1"/>
    <x v="1"/>
    <s v="No"/>
    <n v="0"/>
    <n v="0"/>
    <n v="5"/>
  </r>
  <r>
    <n v="3267"/>
    <s v="Bruno Cavalheiro"/>
    <x v="0"/>
    <d v="2024-04-02T00:00:00"/>
    <x v="1"/>
    <n v="15"/>
    <x v="2"/>
    <x v="0"/>
    <x v="0"/>
    <s v="Yes"/>
    <n v="20"/>
    <n v="7"/>
    <n v="58"/>
  </r>
  <r>
    <n v="3268"/>
    <s v="Carla Dias"/>
    <x v="2"/>
    <d v="2024-04-03T00:00:00"/>
    <x v="0"/>
    <n v="10"/>
    <x v="1"/>
    <x v="1"/>
    <x v="1"/>
    <s v="Yes"/>
    <n v="20"/>
    <n v="10"/>
    <n v="20"/>
  </r>
  <r>
    <n v="3269"/>
    <s v="Diego Fontes"/>
    <x v="1"/>
    <d v="2024-04-04T00:00:00"/>
    <x v="1"/>
    <n v="5"/>
    <x v="2"/>
    <x v="1"/>
    <x v="1"/>
    <s v="No"/>
    <n v="0"/>
    <n v="1"/>
    <n v="4"/>
  </r>
  <r>
    <n v="3270"/>
    <s v="Eunice Lima"/>
    <x v="0"/>
    <d v="2024-04-05T00:00:00"/>
    <x v="0"/>
    <n v="15"/>
    <x v="0"/>
    <x v="0"/>
    <x v="0"/>
    <s v="Yes"/>
    <n v="20"/>
    <n v="15"/>
    <n v="50"/>
  </r>
  <r>
    <n v="3271"/>
    <s v="Fábio Martins"/>
    <x v="2"/>
    <d v="2024-04-06T00:00:00"/>
    <x v="1"/>
    <n v="10"/>
    <x v="0"/>
    <x v="1"/>
    <x v="1"/>
    <s v="Yes"/>
    <n v="20"/>
    <n v="5"/>
    <n v="25"/>
  </r>
  <r>
    <n v="3272"/>
    <s v="Gisele Araújo"/>
    <x v="1"/>
    <d v="2024-04-07T00:00:00"/>
    <x v="0"/>
    <n v="5"/>
    <x v="1"/>
    <x v="1"/>
    <x v="1"/>
    <s v="No"/>
    <n v="0"/>
    <n v="0"/>
    <n v="5"/>
  </r>
  <r>
    <n v="3273"/>
    <s v="Hélio Castro"/>
    <x v="0"/>
    <d v="2024-04-08T00:00:00"/>
    <x v="1"/>
    <n v="15"/>
    <x v="2"/>
    <x v="0"/>
    <x v="0"/>
    <s v="Yes"/>
    <n v="20"/>
    <n v="20"/>
    <n v="45"/>
  </r>
  <r>
    <n v="3274"/>
    <s v="Ingrid Menezes"/>
    <x v="2"/>
    <d v="2024-04-09T00:00:00"/>
    <x v="0"/>
    <n v="10"/>
    <x v="2"/>
    <x v="1"/>
    <x v="1"/>
    <s v="Yes"/>
    <n v="20"/>
    <n v="12"/>
    <n v="18"/>
  </r>
  <r>
    <n v="3275"/>
    <s v="Jorge Baptista"/>
    <x v="1"/>
    <d v="2024-04-10T00:00:00"/>
    <x v="1"/>
    <n v="5"/>
    <x v="0"/>
    <x v="1"/>
    <x v="1"/>
    <s v="No"/>
    <n v="0"/>
    <n v="2"/>
    <n v="3"/>
  </r>
  <r>
    <n v="3276"/>
    <s v="Kléber Oliveira"/>
    <x v="0"/>
    <d v="2024-04-11T00:00:00"/>
    <x v="0"/>
    <n v="15"/>
    <x v="1"/>
    <x v="0"/>
    <x v="0"/>
    <s v="Yes"/>
    <n v="20"/>
    <n v="5"/>
    <n v="60"/>
  </r>
  <r>
    <n v="3277"/>
    <s v="Luciana Freitas"/>
    <x v="2"/>
    <d v="2024-04-12T00:00:00"/>
    <x v="1"/>
    <n v="10"/>
    <x v="0"/>
    <x v="1"/>
    <x v="1"/>
    <s v="Yes"/>
    <n v="20"/>
    <n v="10"/>
    <n v="20"/>
  </r>
  <r>
    <n v="3278"/>
    <s v="Márcia Eller"/>
    <x v="1"/>
    <d v="2024-04-13T00:00:00"/>
    <x v="0"/>
    <n v="5"/>
    <x v="2"/>
    <x v="1"/>
    <x v="1"/>
    <s v="No"/>
    <n v="0"/>
    <n v="0"/>
    <n v="5"/>
  </r>
  <r>
    <n v="3279"/>
    <s v="Nilo Peçanha"/>
    <x v="0"/>
    <d v="2024-04-14T00:00:00"/>
    <x v="1"/>
    <n v="15"/>
    <x v="0"/>
    <x v="0"/>
    <x v="0"/>
    <s v="Yes"/>
    <n v="20"/>
    <n v="3"/>
    <n v="62"/>
  </r>
  <r>
    <n v="3280"/>
    <s v="Oscar Neves"/>
    <x v="2"/>
    <d v="2024-04-15T00:00:00"/>
    <x v="0"/>
    <n v="10"/>
    <x v="1"/>
    <x v="1"/>
    <x v="1"/>
    <s v="Yes"/>
    <n v="20"/>
    <n v="15"/>
    <n v="15"/>
  </r>
  <r>
    <n v="3281"/>
    <s v="Patrícia Soares"/>
    <x v="1"/>
    <d v="2024-04-16T00:00:00"/>
    <x v="1"/>
    <n v="5"/>
    <x v="0"/>
    <x v="1"/>
    <x v="1"/>
    <s v="No"/>
    <n v="0"/>
    <n v="1"/>
    <n v="4"/>
  </r>
  <r>
    <n v="3282"/>
    <s v="Quirino Gonçalves"/>
    <x v="0"/>
    <d v="2024-04-17T00:00:00"/>
    <x v="0"/>
    <n v="15"/>
    <x v="2"/>
    <x v="0"/>
    <x v="0"/>
    <s v="Yes"/>
    <n v="20"/>
    <n v="7"/>
    <n v="58"/>
  </r>
  <r>
    <n v="3283"/>
    <s v="Raul Machado"/>
    <x v="2"/>
    <d v="2024-04-18T00:00:00"/>
    <x v="1"/>
    <n v="10"/>
    <x v="0"/>
    <x v="1"/>
    <x v="1"/>
    <s v="Yes"/>
    <n v="20"/>
    <n v="10"/>
    <n v="20"/>
  </r>
  <r>
    <n v="3284"/>
    <s v="Sônia Lobo"/>
    <x v="1"/>
    <d v="2024-04-19T00:00:00"/>
    <x v="0"/>
    <n v="5"/>
    <x v="1"/>
    <x v="1"/>
    <x v="1"/>
    <s v="No"/>
    <n v="0"/>
    <n v="0"/>
    <n v="5"/>
  </r>
  <r>
    <n v="3285"/>
    <s v="Tiago Ramos"/>
    <x v="0"/>
    <d v="2024-04-20T00:00:00"/>
    <x v="1"/>
    <n v="15"/>
    <x v="0"/>
    <x v="0"/>
    <x v="0"/>
    <s v="Yes"/>
    <n v="20"/>
    <n v="20"/>
    <n v="45"/>
  </r>
  <r>
    <n v="3286"/>
    <s v="Ugo Pires"/>
    <x v="2"/>
    <d v="2024-04-21T00:00:00"/>
    <x v="0"/>
    <n v="10"/>
    <x v="2"/>
    <x v="1"/>
    <x v="1"/>
    <s v="Yes"/>
    <n v="20"/>
    <n v="15"/>
    <n v="15"/>
  </r>
  <r>
    <n v="3287"/>
    <s v="Valéria Nobre"/>
    <x v="1"/>
    <d v="2024-04-22T00:00:00"/>
    <x v="1"/>
    <n v="5"/>
    <x v="0"/>
    <x v="1"/>
    <x v="1"/>
    <s v="No"/>
    <n v="0"/>
    <n v="1"/>
    <n v="4"/>
  </r>
  <r>
    <n v="3288"/>
    <s v="William Siqueira"/>
    <x v="0"/>
    <d v="2024-04-23T00:00:00"/>
    <x v="0"/>
    <n v="15"/>
    <x v="1"/>
    <x v="0"/>
    <x v="0"/>
    <s v="Yes"/>
    <n v="20"/>
    <n v="3"/>
    <n v="62"/>
  </r>
  <r>
    <n v="3289"/>
    <s v="Xuxa Meneghel"/>
    <x v="2"/>
    <d v="2024-04-24T00:00:00"/>
    <x v="1"/>
    <n v="10"/>
    <x v="0"/>
    <x v="1"/>
    <x v="1"/>
    <s v="Yes"/>
    <n v="20"/>
    <n v="10"/>
    <n v="20"/>
  </r>
  <r>
    <n v="3290"/>
    <s v="Yara Figueiredo"/>
    <x v="1"/>
    <d v="2024-04-25T00:00:00"/>
    <x v="0"/>
    <n v="5"/>
    <x v="2"/>
    <x v="1"/>
    <x v="1"/>
    <s v="No"/>
    <n v="0"/>
    <n v="0"/>
    <n v="5"/>
  </r>
  <r>
    <n v="3291"/>
    <s v="Zacarias Alves"/>
    <x v="0"/>
    <d v="2024-04-26T00:00:00"/>
    <x v="1"/>
    <n v="15"/>
    <x v="0"/>
    <x v="0"/>
    <x v="0"/>
    <s v="Yes"/>
    <n v="20"/>
    <n v="5"/>
    <n v="60"/>
  </r>
  <r>
    <n v="3292"/>
    <s v="Amanda Bynes"/>
    <x v="2"/>
    <d v="2024-04-27T00:00:00"/>
    <x v="0"/>
    <n v="10"/>
    <x v="1"/>
    <x v="1"/>
    <x v="1"/>
    <s v="Yes"/>
    <n v="20"/>
    <n v="15"/>
    <n v="15"/>
  </r>
  <r>
    <n v="3293"/>
    <s v="Bruno Mars"/>
    <x v="1"/>
    <d v="2024-04-28T00:00:00"/>
    <x v="1"/>
    <n v="5"/>
    <x v="0"/>
    <x v="1"/>
    <x v="1"/>
    <s v="No"/>
    <n v="0"/>
    <n v="1"/>
    <n v="4"/>
  </r>
  <r>
    <n v="3294"/>
    <s v="Carla Bruni"/>
    <x v="0"/>
    <d v="2024-04-29T00:00:00"/>
    <x v="0"/>
    <n v="15"/>
    <x v="2"/>
    <x v="0"/>
    <x v="0"/>
    <s v="Yes"/>
    <n v="20"/>
    <n v="20"/>
    <n v="45"/>
  </r>
  <r>
    <n v="3295"/>
    <s v="Diego Maradona"/>
    <x v="2"/>
    <d v="2024-04-30T00:00:00"/>
    <x v="1"/>
    <n v="10"/>
    <x v="0"/>
    <x v="1"/>
    <x v="1"/>
    <s v="Yes"/>
    <n v="20"/>
    <n v="5"/>
    <n v="25"/>
  </r>
  <r>
    <n v="3296"/>
    <s v="Estela Marques"/>
    <x v="1"/>
    <d v="2024-05-01T00:00:00"/>
    <x v="1"/>
    <n v="5"/>
    <x v="0"/>
    <x v="1"/>
    <x v="1"/>
    <s v="No"/>
    <n v="0"/>
    <n v="0"/>
    <n v="5"/>
  </r>
  <r>
    <n v="3297"/>
    <s v="Fábio Nobre"/>
    <x v="0"/>
    <d v="2024-05-02T00:00:00"/>
    <x v="0"/>
    <n v="15"/>
    <x v="2"/>
    <x v="0"/>
    <x v="0"/>
    <s v="Yes"/>
    <n v="20"/>
    <n v="7"/>
    <n v="58"/>
  </r>
  <r>
    <n v="3298"/>
    <s v="Gabriel Oliveira"/>
    <x v="2"/>
    <d v="2024-05-03T00:00:00"/>
    <x v="1"/>
    <n v="10"/>
    <x v="1"/>
    <x v="1"/>
    <x v="1"/>
    <s v="Yes"/>
    <n v="20"/>
    <n v="10"/>
    <n v="20"/>
  </r>
  <r>
    <n v="3299"/>
    <s v="Helena Santos"/>
    <x v="1"/>
    <d v="2024-05-04T00:00:00"/>
    <x v="0"/>
    <n v="5"/>
    <x v="2"/>
    <x v="1"/>
    <x v="1"/>
    <s v="No"/>
    <n v="0"/>
    <n v="1"/>
    <n v="4"/>
  </r>
  <r>
    <n v="3300"/>
    <s v="Ivan Carvalho"/>
    <x v="0"/>
    <d v="2024-05-05T00:00:00"/>
    <x v="1"/>
    <n v="15"/>
    <x v="0"/>
    <x v="0"/>
    <x v="0"/>
    <s v="Yes"/>
    <n v="20"/>
    <n v="15"/>
    <n v="50"/>
  </r>
  <r>
    <n v="3301"/>
    <s v="Júlia Ferreira"/>
    <x v="2"/>
    <d v="2024-05-06T00:00:00"/>
    <x v="0"/>
    <n v="10"/>
    <x v="0"/>
    <x v="1"/>
    <x v="1"/>
    <s v="Yes"/>
    <n v="20"/>
    <n v="5"/>
    <n v="25"/>
  </r>
  <r>
    <n v="3302"/>
    <s v="Karla Alves"/>
    <x v="1"/>
    <d v="2024-05-07T00:00:00"/>
    <x v="1"/>
    <n v="5"/>
    <x v="1"/>
    <x v="1"/>
    <x v="1"/>
    <s v="No"/>
    <n v="0"/>
    <n v="0"/>
    <n v="5"/>
  </r>
  <r>
    <n v="3303"/>
    <s v="Lucas Mendes"/>
    <x v="0"/>
    <d v="2024-05-08T00:00:00"/>
    <x v="0"/>
    <n v="15"/>
    <x v="2"/>
    <x v="0"/>
    <x v="0"/>
    <s v="Yes"/>
    <n v="20"/>
    <n v="20"/>
    <n v="45"/>
  </r>
  <r>
    <n v="3304"/>
    <s v="Mônica Gomes"/>
    <x v="2"/>
    <d v="2024-05-09T00:00:00"/>
    <x v="1"/>
    <n v="10"/>
    <x v="2"/>
    <x v="1"/>
    <x v="1"/>
    <s v="Yes"/>
    <n v="20"/>
    <n v="12"/>
    <n v="18"/>
  </r>
  <r>
    <n v="3305"/>
    <s v="Norberto Queiroz"/>
    <x v="1"/>
    <d v="2024-05-10T00:00:00"/>
    <x v="0"/>
    <n v="5"/>
    <x v="0"/>
    <x v="1"/>
    <x v="1"/>
    <s v="No"/>
    <n v="0"/>
    <n v="2"/>
    <n v="3"/>
  </r>
  <r>
    <n v="3306"/>
    <s v="Otávio Barros"/>
    <x v="0"/>
    <d v="2024-05-11T00:00:00"/>
    <x v="1"/>
    <n v="15"/>
    <x v="1"/>
    <x v="0"/>
    <x v="0"/>
    <s v="Yes"/>
    <n v="20"/>
    <n v="5"/>
    <n v="60"/>
  </r>
  <r>
    <n v="3307"/>
    <s v="Paula Vieira"/>
    <x v="2"/>
    <d v="2024-05-12T00:00:00"/>
    <x v="0"/>
    <n v="10"/>
    <x v="0"/>
    <x v="1"/>
    <x v="1"/>
    <s v="Yes"/>
    <n v="20"/>
    <n v="10"/>
    <n v="20"/>
  </r>
  <r>
    <n v="3308"/>
    <s v="Quentin Ramos"/>
    <x v="1"/>
    <d v="2024-05-13T00:00:00"/>
    <x v="1"/>
    <n v="5"/>
    <x v="2"/>
    <x v="1"/>
    <x v="1"/>
    <s v="No"/>
    <n v="0"/>
    <n v="0"/>
    <n v="5"/>
  </r>
  <r>
    <n v="3309"/>
    <s v="Raquel Novaes"/>
    <x v="0"/>
    <d v="2024-05-14T00:00:00"/>
    <x v="0"/>
    <n v="15"/>
    <x v="0"/>
    <x v="0"/>
    <x v="0"/>
    <s v="Yes"/>
    <n v="20"/>
    <n v="3"/>
    <n v="62"/>
  </r>
  <r>
    <n v="3310"/>
    <s v="Samantha Lopes"/>
    <x v="2"/>
    <d v="2024-05-15T00:00:00"/>
    <x v="1"/>
    <n v="10"/>
    <x v="1"/>
    <x v="1"/>
    <x v="1"/>
    <s v="Yes"/>
    <n v="20"/>
    <n v="15"/>
    <n v="15"/>
  </r>
  <r>
    <n v="3311"/>
    <s v="Tiago Martins"/>
    <x v="1"/>
    <d v="2024-05-16T00:00:00"/>
    <x v="0"/>
    <n v="5"/>
    <x v="0"/>
    <x v="1"/>
    <x v="1"/>
    <s v="No"/>
    <n v="0"/>
    <n v="1"/>
    <n v="4"/>
  </r>
  <r>
    <n v="3312"/>
    <s v="Ulysses Guimarães"/>
    <x v="0"/>
    <d v="2024-05-17T00:00:00"/>
    <x v="1"/>
    <n v="15"/>
    <x v="2"/>
    <x v="0"/>
    <x v="0"/>
    <s v="Yes"/>
    <n v="20"/>
    <n v="7"/>
    <n v="58"/>
  </r>
  <r>
    <n v="3313"/>
    <s v="Vanessa Silva"/>
    <x v="2"/>
    <d v="2024-05-18T00:00:00"/>
    <x v="0"/>
    <n v="10"/>
    <x v="0"/>
    <x v="1"/>
    <x v="1"/>
    <s v="Yes"/>
    <n v="20"/>
    <n v="10"/>
    <n v="20"/>
  </r>
  <r>
    <n v="3314"/>
    <s v="William Carneiro"/>
    <x v="1"/>
    <d v="2024-05-19T00:00:00"/>
    <x v="1"/>
    <n v="5"/>
    <x v="1"/>
    <x v="1"/>
    <x v="1"/>
    <s v="No"/>
    <n v="0"/>
    <n v="0"/>
    <n v="5"/>
  </r>
  <r>
    <n v="3315"/>
    <s v="Ximena Rocha"/>
    <x v="0"/>
    <d v="2024-05-20T00:00:00"/>
    <x v="0"/>
    <n v="15"/>
    <x v="0"/>
    <x v="0"/>
    <x v="0"/>
    <s v="Yes"/>
    <n v="20"/>
    <n v="20"/>
    <n v="45"/>
  </r>
  <r>
    <n v="3316"/>
    <s v="Yasmin Figueiredo"/>
    <x v="2"/>
    <d v="2024-05-21T00:00:00"/>
    <x v="1"/>
    <n v="10"/>
    <x v="2"/>
    <x v="1"/>
    <x v="1"/>
    <s v="Yes"/>
    <n v="20"/>
    <n v="15"/>
    <n v="15"/>
  </r>
  <r>
    <n v="3317"/>
    <s v="Zara Cunha"/>
    <x v="1"/>
    <d v="2024-05-22T00:00:00"/>
    <x v="0"/>
    <n v="5"/>
    <x v="0"/>
    <x v="1"/>
    <x v="1"/>
    <s v="No"/>
    <n v="0"/>
    <n v="1"/>
    <n v="4"/>
  </r>
  <r>
    <n v="3318"/>
    <s v="Alan Teixeira"/>
    <x v="0"/>
    <d v="2024-05-23T00:00:00"/>
    <x v="1"/>
    <n v="15"/>
    <x v="1"/>
    <x v="0"/>
    <x v="0"/>
    <s v="Yes"/>
    <n v="20"/>
    <n v="3"/>
    <n v="62"/>
  </r>
  <r>
    <n v="3319"/>
    <s v="Bárbara Oliveira"/>
    <x v="2"/>
    <d v="2024-05-24T00:00:00"/>
    <x v="0"/>
    <n v="10"/>
    <x v="0"/>
    <x v="1"/>
    <x v="1"/>
    <s v="Yes"/>
    <n v="20"/>
    <n v="10"/>
    <n v="20"/>
  </r>
  <r>
    <n v="3320"/>
    <s v="Carlos Junqueira"/>
    <x v="1"/>
    <d v="2024-05-25T00:00:00"/>
    <x v="1"/>
    <n v="5"/>
    <x v="2"/>
    <x v="1"/>
    <x v="1"/>
    <s v="No"/>
    <n v="0"/>
    <n v="0"/>
    <n v="5"/>
  </r>
  <r>
    <n v="3321"/>
    <s v="Daniela Moura"/>
    <x v="0"/>
    <d v="2024-05-26T00:00:00"/>
    <x v="0"/>
    <n v="15"/>
    <x v="0"/>
    <x v="0"/>
    <x v="0"/>
    <s v="Yes"/>
    <n v="20"/>
    <n v="5"/>
    <n v="60"/>
  </r>
  <r>
    <n v="3322"/>
    <s v="Eduardo Lima"/>
    <x v="2"/>
    <d v="2024-05-27T00:00:00"/>
    <x v="1"/>
    <n v="10"/>
    <x v="1"/>
    <x v="1"/>
    <x v="1"/>
    <s v="Yes"/>
    <n v="20"/>
    <n v="15"/>
    <n v="15"/>
  </r>
  <r>
    <n v="3323"/>
    <s v="Fabiana Araújo"/>
    <x v="1"/>
    <d v="2024-05-28T00:00:00"/>
    <x v="0"/>
    <n v="5"/>
    <x v="0"/>
    <x v="1"/>
    <x v="1"/>
    <s v="No"/>
    <n v="0"/>
    <n v="1"/>
    <n v="4"/>
  </r>
  <r>
    <n v="3324"/>
    <s v="Geraldo Ribeiro"/>
    <x v="0"/>
    <d v="2024-05-29T00:00:00"/>
    <x v="1"/>
    <n v="15"/>
    <x v="2"/>
    <x v="0"/>
    <x v="0"/>
    <s v="Yes"/>
    <n v="20"/>
    <n v="20"/>
    <n v="45"/>
  </r>
  <r>
    <n v="3325"/>
    <s v="Héctor Vargas"/>
    <x v="2"/>
    <d v="2024-05-30T00:00:00"/>
    <x v="0"/>
    <n v="10"/>
    <x v="2"/>
    <x v="1"/>
    <x v="1"/>
    <s v="Yes"/>
    <n v="20"/>
    <n v="15"/>
    <n v="15"/>
  </r>
  <r>
    <n v="3326"/>
    <s v="Isabela Fonseca"/>
    <x v="1"/>
    <d v="2024-05-31T00:00:00"/>
    <x v="1"/>
    <n v="5"/>
    <x v="1"/>
    <x v="1"/>
    <x v="1"/>
    <s v="No"/>
    <n v="0"/>
    <n v="0"/>
    <n v="5"/>
  </r>
  <r>
    <n v="3327"/>
    <s v="João Pedro Almeida"/>
    <x v="0"/>
    <d v="2024-06-01T00:00:00"/>
    <x v="0"/>
    <n v="15"/>
    <x v="0"/>
    <x v="0"/>
    <x v="0"/>
    <s v="Yes"/>
    <n v="20"/>
    <n v="7"/>
    <n v="58"/>
  </r>
  <r>
    <n v="3328"/>
    <s v="Klara Costa"/>
    <x v="2"/>
    <d v="2024-06-02T00:00:00"/>
    <x v="1"/>
    <n v="10"/>
    <x v="1"/>
    <x v="1"/>
    <x v="1"/>
    <s v="Yes"/>
    <n v="20"/>
    <n v="10"/>
    <n v="20"/>
  </r>
  <r>
    <n v="3329"/>
    <s v="Luciana Mendes"/>
    <x v="1"/>
    <d v="2024-06-03T00:00:00"/>
    <x v="0"/>
    <n v="5"/>
    <x v="2"/>
    <x v="1"/>
    <x v="1"/>
    <s v="No"/>
    <n v="0"/>
    <n v="1"/>
    <n v="4"/>
  </r>
  <r>
    <n v="3330"/>
    <s v="Marcelo Gouveia"/>
    <x v="0"/>
    <d v="2024-06-04T00:00:00"/>
    <x v="1"/>
    <n v="15"/>
    <x v="0"/>
    <x v="0"/>
    <x v="0"/>
    <s v="Yes"/>
    <n v="20"/>
    <n v="15"/>
    <n v="50"/>
  </r>
  <r>
    <n v="3331"/>
    <s v="Nívea Borges"/>
    <x v="2"/>
    <d v="2024-06-05T00:00:00"/>
    <x v="0"/>
    <n v="10"/>
    <x v="0"/>
    <x v="1"/>
    <x v="1"/>
    <s v="Yes"/>
    <n v="20"/>
    <n v="5"/>
    <n v="25"/>
  </r>
  <r>
    <n v="3332"/>
    <s v="Oscar Nogueira"/>
    <x v="1"/>
    <d v="2024-06-06T00:00:00"/>
    <x v="1"/>
    <n v="5"/>
    <x v="1"/>
    <x v="1"/>
    <x v="1"/>
    <s v="No"/>
    <n v="0"/>
    <n v="0"/>
    <n v="5"/>
  </r>
  <r>
    <n v="3333"/>
    <s v="Patrícia Alves"/>
    <x v="0"/>
    <d v="2024-06-07T00:00:00"/>
    <x v="0"/>
    <n v="15"/>
    <x v="2"/>
    <x v="0"/>
    <x v="0"/>
    <s v="Yes"/>
    <n v="20"/>
    <n v="20"/>
    <n v="45"/>
  </r>
  <r>
    <n v="3334"/>
    <s v="Rafaela Silva"/>
    <x v="2"/>
    <d v="2024-06-08T00:00:00"/>
    <x v="1"/>
    <n v="10"/>
    <x v="2"/>
    <x v="1"/>
    <x v="1"/>
    <s v="Yes"/>
    <n v="20"/>
    <n v="12"/>
    <n v="18"/>
  </r>
  <r>
    <n v="3335"/>
    <s v="Samantha Moraes"/>
    <x v="1"/>
    <d v="2024-06-09T00:00:00"/>
    <x v="0"/>
    <n v="5"/>
    <x v="0"/>
    <x v="1"/>
    <x v="1"/>
    <s v="No"/>
    <n v="0"/>
    <n v="2"/>
    <n v="3"/>
  </r>
  <r>
    <n v="3336"/>
    <s v="Tatiana Rocha"/>
    <x v="1"/>
    <d v="2024-06-10T00:00:00"/>
    <x v="0"/>
    <n v="5"/>
    <x v="0"/>
    <x v="1"/>
    <x v="1"/>
    <s v="No"/>
    <n v="0"/>
    <n v="0"/>
    <n v="5"/>
  </r>
  <r>
    <n v="3337"/>
    <s v="Ulisses Tavares"/>
    <x v="0"/>
    <d v="2024-06-11T00:00:00"/>
    <x v="1"/>
    <n v="15"/>
    <x v="2"/>
    <x v="0"/>
    <x v="0"/>
    <s v="Yes"/>
    <n v="20"/>
    <n v="7"/>
    <n v="58"/>
  </r>
  <r>
    <n v="3338"/>
    <s v="Víctor Lemos"/>
    <x v="2"/>
    <d v="2024-06-12T00:00:00"/>
    <x v="0"/>
    <n v="10"/>
    <x v="1"/>
    <x v="1"/>
    <x v="1"/>
    <s v="Yes"/>
    <n v="20"/>
    <n v="10"/>
    <n v="20"/>
  </r>
  <r>
    <n v="3339"/>
    <s v="Wilma Barros"/>
    <x v="1"/>
    <d v="2024-06-13T00:00:00"/>
    <x v="1"/>
    <n v="5"/>
    <x v="2"/>
    <x v="1"/>
    <x v="1"/>
    <s v="No"/>
    <n v="0"/>
    <n v="1"/>
    <n v="4"/>
  </r>
  <r>
    <n v="3340"/>
    <s v="Xavier Nascimento"/>
    <x v="0"/>
    <d v="2024-06-14T00:00:00"/>
    <x v="0"/>
    <n v="15"/>
    <x v="0"/>
    <x v="0"/>
    <x v="0"/>
    <s v="Yes"/>
    <n v="20"/>
    <n v="15"/>
    <n v="50"/>
  </r>
  <r>
    <n v="3341"/>
    <s v="Yago Pereira"/>
    <x v="2"/>
    <d v="2024-06-15T00:00:00"/>
    <x v="1"/>
    <n v="10"/>
    <x v="0"/>
    <x v="1"/>
    <x v="1"/>
    <s v="Yes"/>
    <n v="20"/>
    <n v="5"/>
    <n v="25"/>
  </r>
  <r>
    <n v="3342"/>
    <s v="Zilda Ferreira"/>
    <x v="1"/>
    <d v="2024-06-16T00:00:00"/>
    <x v="0"/>
    <n v="5"/>
    <x v="1"/>
    <x v="1"/>
    <x v="1"/>
    <s v="No"/>
    <n v="0"/>
    <n v="0"/>
    <n v="5"/>
  </r>
  <r>
    <n v="3343"/>
    <s v="Amanda Lopes"/>
    <x v="0"/>
    <d v="2024-06-17T00:00:00"/>
    <x v="1"/>
    <n v="15"/>
    <x v="2"/>
    <x v="0"/>
    <x v="0"/>
    <s v="Yes"/>
    <n v="20"/>
    <n v="20"/>
    <n v="45"/>
  </r>
  <r>
    <n v="3344"/>
    <s v="Bruno Miranda"/>
    <x v="2"/>
    <d v="2024-06-18T00:00:00"/>
    <x v="0"/>
    <n v="10"/>
    <x v="2"/>
    <x v="1"/>
    <x v="1"/>
    <s v="Yes"/>
    <n v="20"/>
    <n v="12"/>
    <n v="18"/>
  </r>
  <r>
    <n v="3345"/>
    <s v="Célia Torres"/>
    <x v="1"/>
    <d v="2024-06-19T00:00:00"/>
    <x v="1"/>
    <n v="5"/>
    <x v="0"/>
    <x v="1"/>
    <x v="1"/>
    <s v="No"/>
    <n v="0"/>
    <n v="2"/>
    <n v="3"/>
  </r>
  <r>
    <n v="3346"/>
    <s v="Diogo Souza"/>
    <x v="0"/>
    <d v="2024-06-20T00:00:00"/>
    <x v="0"/>
    <n v="15"/>
    <x v="1"/>
    <x v="0"/>
    <x v="0"/>
    <s v="Yes"/>
    <n v="20"/>
    <n v="5"/>
    <n v="60"/>
  </r>
  <r>
    <n v="3347"/>
    <s v="Elisa Castro"/>
    <x v="2"/>
    <d v="2024-06-21T00:00:00"/>
    <x v="1"/>
    <n v="10"/>
    <x v="0"/>
    <x v="1"/>
    <x v="1"/>
    <s v="Yes"/>
    <n v="20"/>
    <n v="10"/>
    <n v="20"/>
  </r>
  <r>
    <n v="3348"/>
    <s v="Fátima Lima"/>
    <x v="1"/>
    <d v="2024-06-22T00:00:00"/>
    <x v="0"/>
    <n v="5"/>
    <x v="2"/>
    <x v="1"/>
    <x v="1"/>
    <s v="No"/>
    <n v="0"/>
    <n v="0"/>
    <n v="5"/>
  </r>
  <r>
    <n v="3349"/>
    <s v="Geraldo Ribeiro"/>
    <x v="0"/>
    <d v="2024-06-23T00:00:00"/>
    <x v="1"/>
    <n v="15"/>
    <x v="0"/>
    <x v="0"/>
    <x v="0"/>
    <s v="Yes"/>
    <n v="20"/>
    <n v="3"/>
    <n v="62"/>
  </r>
  <r>
    <n v="3350"/>
    <s v="Hélio Martins"/>
    <x v="2"/>
    <d v="2024-06-24T00:00:00"/>
    <x v="0"/>
    <n v="10"/>
    <x v="1"/>
    <x v="1"/>
    <x v="1"/>
    <s v="Yes"/>
    <n v="20"/>
    <n v="15"/>
    <n v="15"/>
  </r>
  <r>
    <n v="3351"/>
    <s v="Íris Santos"/>
    <x v="1"/>
    <d v="2024-06-25T00:00:00"/>
    <x v="1"/>
    <n v="5"/>
    <x v="0"/>
    <x v="1"/>
    <x v="1"/>
    <s v="No"/>
    <n v="0"/>
    <n v="1"/>
    <n v="4"/>
  </r>
  <r>
    <n v="3352"/>
    <s v="João Marcelo"/>
    <x v="0"/>
    <d v="2024-06-26T00:00:00"/>
    <x v="0"/>
    <n v="15"/>
    <x v="2"/>
    <x v="0"/>
    <x v="0"/>
    <s v="Yes"/>
    <n v="20"/>
    <n v="7"/>
    <n v="58"/>
  </r>
  <r>
    <n v="3353"/>
    <s v="Larissa Gomes"/>
    <x v="2"/>
    <d v="2024-06-27T00:00:00"/>
    <x v="1"/>
    <n v="10"/>
    <x v="0"/>
    <x v="1"/>
    <x v="1"/>
    <s v="Yes"/>
    <n v="20"/>
    <n v="10"/>
    <n v="20"/>
  </r>
  <r>
    <n v="3354"/>
    <s v="Márcio Silva"/>
    <x v="1"/>
    <d v="2024-06-28T00:00:00"/>
    <x v="0"/>
    <n v="5"/>
    <x v="1"/>
    <x v="1"/>
    <x v="1"/>
    <s v="No"/>
    <n v="0"/>
    <n v="0"/>
    <n v="5"/>
  </r>
  <r>
    <n v="3355"/>
    <s v="Nadia Costa"/>
    <x v="0"/>
    <d v="2024-06-29T00:00:00"/>
    <x v="1"/>
    <n v="15"/>
    <x v="0"/>
    <x v="0"/>
    <x v="0"/>
    <s v="Yes"/>
    <n v="20"/>
    <n v="20"/>
    <n v="45"/>
  </r>
  <r>
    <n v="3356"/>
    <s v="Oscar Almeida"/>
    <x v="2"/>
    <d v="2024-06-30T00:00:00"/>
    <x v="0"/>
    <n v="10"/>
    <x v="2"/>
    <x v="1"/>
    <x v="1"/>
    <s v="Yes"/>
    <n v="20"/>
    <n v="15"/>
    <n v="15"/>
  </r>
  <r>
    <n v="3357"/>
    <s v="Patricia Soares"/>
    <x v="1"/>
    <d v="2024-07-01T00:00:00"/>
    <x v="1"/>
    <n v="5"/>
    <x v="0"/>
    <x v="1"/>
    <x v="1"/>
    <s v="No"/>
    <n v="0"/>
    <n v="1"/>
    <n v="4"/>
  </r>
  <r>
    <n v="3358"/>
    <s v="Quênia Barros"/>
    <x v="0"/>
    <d v="2024-07-02T00:00:00"/>
    <x v="0"/>
    <n v="15"/>
    <x v="1"/>
    <x v="0"/>
    <x v="0"/>
    <s v="Yes"/>
    <n v="20"/>
    <n v="3"/>
    <n v="62"/>
  </r>
  <r>
    <n v="3359"/>
    <s v="Rafael Torres"/>
    <x v="2"/>
    <d v="2024-07-03T00:00:00"/>
    <x v="1"/>
    <n v="10"/>
    <x v="0"/>
    <x v="1"/>
    <x v="1"/>
    <s v="Yes"/>
    <n v="20"/>
    <n v="10"/>
    <n v="20"/>
  </r>
  <r>
    <n v="3360"/>
    <s v="Silvia Nascimento"/>
    <x v="1"/>
    <d v="2024-07-04T00:00:00"/>
    <x v="0"/>
    <n v="5"/>
    <x v="2"/>
    <x v="1"/>
    <x v="1"/>
    <s v="No"/>
    <n v="0"/>
    <n v="0"/>
    <n v="5"/>
  </r>
  <r>
    <n v="3361"/>
    <s v="Tiago Mendes"/>
    <x v="0"/>
    <d v="2024-07-05T00:00:00"/>
    <x v="1"/>
    <n v="15"/>
    <x v="0"/>
    <x v="0"/>
    <x v="0"/>
    <s v="Yes"/>
    <n v="20"/>
    <n v="15"/>
    <n v="50"/>
  </r>
  <r>
    <n v="3362"/>
    <s v="Ursula Silva"/>
    <x v="2"/>
    <d v="2024-07-06T00:00:00"/>
    <x v="0"/>
    <n v="10"/>
    <x v="1"/>
    <x v="1"/>
    <x v="1"/>
    <s v="Yes"/>
    <n v="20"/>
    <n v="15"/>
    <n v="15"/>
  </r>
  <r>
    <n v="3363"/>
    <s v="Vanessa Moraes"/>
    <x v="1"/>
    <d v="2024-07-07T00:00:00"/>
    <x v="1"/>
    <n v="5"/>
    <x v="0"/>
    <x v="1"/>
    <x v="1"/>
    <s v="No"/>
    <n v="0"/>
    <n v="1"/>
    <n v="4"/>
  </r>
  <r>
    <n v="3364"/>
    <s v="Waldir Junior"/>
    <x v="0"/>
    <d v="2024-07-08T00:00:00"/>
    <x v="0"/>
    <n v="15"/>
    <x v="2"/>
    <x v="0"/>
    <x v="0"/>
    <s v="Yes"/>
    <n v="20"/>
    <n v="7"/>
    <n v="58"/>
  </r>
  <r>
    <n v="3365"/>
    <s v="Xavier Lopes"/>
    <x v="2"/>
    <d v="2024-07-09T00:00:00"/>
    <x v="1"/>
    <n v="10"/>
    <x v="0"/>
    <x v="1"/>
    <x v="1"/>
    <s v="Yes"/>
    <n v="20"/>
    <n v="10"/>
    <n v="20"/>
  </r>
  <r>
    <n v="3366"/>
    <s v="Yolanda Freitas"/>
    <x v="1"/>
    <d v="2024-07-10T00:00:00"/>
    <x v="0"/>
    <n v="5"/>
    <x v="0"/>
    <x v="1"/>
    <x v="1"/>
    <s v="No"/>
    <n v="0"/>
    <n v="0"/>
    <n v="5"/>
  </r>
  <r>
    <n v="3367"/>
    <s v="Zacarias Nunes"/>
    <x v="0"/>
    <d v="2024-07-11T00:00:00"/>
    <x v="1"/>
    <n v="15"/>
    <x v="2"/>
    <x v="0"/>
    <x v="0"/>
    <s v="Yes"/>
    <n v="20"/>
    <n v="7"/>
    <n v="58"/>
  </r>
  <r>
    <n v="3368"/>
    <s v="Ana Clara Barreto"/>
    <x v="2"/>
    <d v="2024-07-12T00:00:00"/>
    <x v="0"/>
    <n v="10"/>
    <x v="1"/>
    <x v="1"/>
    <x v="1"/>
    <s v="Yes"/>
    <n v="20"/>
    <n v="10"/>
    <n v="20"/>
  </r>
  <r>
    <n v="3369"/>
    <s v="Bruno Henrique"/>
    <x v="1"/>
    <d v="2024-07-13T00:00:00"/>
    <x v="1"/>
    <n v="5"/>
    <x v="2"/>
    <x v="1"/>
    <x v="1"/>
    <s v="No"/>
    <n v="0"/>
    <n v="1"/>
    <n v="4"/>
  </r>
  <r>
    <n v="3370"/>
    <s v="Carlos Eduardo"/>
    <x v="0"/>
    <d v="2024-07-14T00:00:00"/>
    <x v="0"/>
    <n v="15"/>
    <x v="0"/>
    <x v="0"/>
    <x v="0"/>
    <s v="Yes"/>
    <n v="20"/>
    <n v="15"/>
    <n v="50"/>
  </r>
  <r>
    <n v="3371"/>
    <s v="Débora Lima"/>
    <x v="2"/>
    <d v="2024-07-15T00:00:00"/>
    <x v="1"/>
    <n v="10"/>
    <x v="0"/>
    <x v="1"/>
    <x v="1"/>
    <s v="Yes"/>
    <n v="20"/>
    <n v="5"/>
    <n v="25"/>
  </r>
  <r>
    <n v="3372"/>
    <s v="Elisa Neves"/>
    <x v="1"/>
    <d v="2024-07-16T00:00:00"/>
    <x v="0"/>
    <n v="5"/>
    <x v="1"/>
    <x v="1"/>
    <x v="1"/>
    <s v="No"/>
    <n v="0"/>
    <n v="0"/>
    <n v="5"/>
  </r>
  <r>
    <n v="3373"/>
    <s v="Fabiano Gomes"/>
    <x v="0"/>
    <d v="2024-07-17T00:00:00"/>
    <x v="1"/>
    <n v="15"/>
    <x v="2"/>
    <x v="0"/>
    <x v="0"/>
    <s v="Yes"/>
    <n v="20"/>
    <n v="20"/>
    <n v="45"/>
  </r>
  <r>
    <n v="3374"/>
    <s v="Gisele Oliveira"/>
    <x v="2"/>
    <d v="2024-07-18T00:00:00"/>
    <x v="0"/>
    <n v="10"/>
    <x v="2"/>
    <x v="1"/>
    <x v="1"/>
    <s v="Yes"/>
    <n v="20"/>
    <n v="12"/>
    <n v="18"/>
  </r>
  <r>
    <n v="3375"/>
    <s v="Héctor Silva"/>
    <x v="1"/>
    <d v="2024-07-19T00:00:00"/>
    <x v="1"/>
    <n v="5"/>
    <x v="0"/>
    <x v="1"/>
    <x v="1"/>
    <s v="No"/>
    <n v="0"/>
    <n v="2"/>
    <n v="3"/>
  </r>
  <r>
    <n v="3376"/>
    <s v="Igor Martins"/>
    <x v="0"/>
    <d v="2024-07-20T00:00:00"/>
    <x v="0"/>
    <n v="15"/>
    <x v="1"/>
    <x v="0"/>
    <x v="0"/>
    <s v="Yes"/>
    <n v="20"/>
    <n v="5"/>
    <n v="60"/>
  </r>
  <r>
    <n v="3377"/>
    <s v="Joana Figueiredo"/>
    <x v="2"/>
    <d v="2024-07-21T00:00:00"/>
    <x v="1"/>
    <n v="10"/>
    <x v="0"/>
    <x v="1"/>
    <x v="1"/>
    <s v="Yes"/>
    <n v="20"/>
    <n v="10"/>
    <n v="20"/>
  </r>
  <r>
    <n v="3378"/>
    <s v="Kleber Machado"/>
    <x v="1"/>
    <d v="2024-07-22T00:00:00"/>
    <x v="0"/>
    <n v="5"/>
    <x v="2"/>
    <x v="1"/>
    <x v="1"/>
    <s v="No"/>
    <n v="0"/>
    <n v="0"/>
    <n v="5"/>
  </r>
  <r>
    <n v="3379"/>
    <s v="Luciana Santos"/>
    <x v="0"/>
    <d v="2024-07-23T00:00:00"/>
    <x v="1"/>
    <n v="15"/>
    <x v="0"/>
    <x v="0"/>
    <x v="0"/>
    <s v="Yes"/>
    <n v="20"/>
    <n v="3"/>
    <n v="62"/>
  </r>
  <r>
    <n v="3380"/>
    <s v="Marcos Teixeira"/>
    <x v="2"/>
    <d v="2024-07-24T00:00:00"/>
    <x v="0"/>
    <n v="10"/>
    <x v="1"/>
    <x v="1"/>
    <x v="1"/>
    <s v="Yes"/>
    <n v="20"/>
    <n v="15"/>
    <n v="15"/>
  </r>
  <r>
    <n v="3381"/>
    <s v="Natalia Costa"/>
    <x v="1"/>
    <d v="2024-07-25T00:00:00"/>
    <x v="1"/>
    <n v="5"/>
    <x v="0"/>
    <x v="1"/>
    <x v="1"/>
    <s v="No"/>
    <n v="0"/>
    <n v="1"/>
    <n v="4"/>
  </r>
  <r>
    <n v="3382"/>
    <s v="Oscar Ribeiro"/>
    <x v="0"/>
    <d v="2024-07-26T00:00:00"/>
    <x v="0"/>
    <n v="15"/>
    <x v="2"/>
    <x v="0"/>
    <x v="0"/>
    <s v="Yes"/>
    <n v="20"/>
    <n v="7"/>
    <n v="58"/>
  </r>
  <r>
    <n v="3383"/>
    <s v="Patricia Almeida"/>
    <x v="2"/>
    <d v="2024-07-27T00:00:00"/>
    <x v="1"/>
    <n v="10"/>
    <x v="0"/>
    <x v="1"/>
    <x v="1"/>
    <s v="Yes"/>
    <n v="20"/>
    <n v="10"/>
    <n v="20"/>
  </r>
  <r>
    <n v="3384"/>
    <s v="Quirino Junior"/>
    <x v="1"/>
    <d v="2024-07-28T00:00:00"/>
    <x v="0"/>
    <n v="5"/>
    <x v="1"/>
    <x v="1"/>
    <x v="1"/>
    <s v="No"/>
    <n v="0"/>
    <n v="0"/>
    <n v="5"/>
  </r>
  <r>
    <n v="3385"/>
    <s v="Renata Machado"/>
    <x v="0"/>
    <d v="2024-07-29T00:00:00"/>
    <x v="1"/>
    <n v="15"/>
    <x v="0"/>
    <x v="0"/>
    <x v="0"/>
    <s v="Yes"/>
    <n v="20"/>
    <n v="20"/>
    <n v="45"/>
  </r>
  <r>
    <n v="3386"/>
    <s v="Sônia Alves"/>
    <x v="2"/>
    <d v="2024-07-30T00:00:00"/>
    <x v="0"/>
    <n v="10"/>
    <x v="2"/>
    <x v="1"/>
    <x v="1"/>
    <s v="Yes"/>
    <n v="20"/>
    <n v="15"/>
    <n v="15"/>
  </r>
  <r>
    <n v="3387"/>
    <s v="Tiago Nunes"/>
    <x v="1"/>
    <d v="2024-07-31T00:00:00"/>
    <x v="1"/>
    <n v="5"/>
    <x v="0"/>
    <x v="1"/>
    <x v="1"/>
    <s v="No"/>
    <n v="0"/>
    <n v="1"/>
    <n v="4"/>
  </r>
  <r>
    <n v="3388"/>
    <s v="Ulysses Pereira"/>
    <x v="0"/>
    <d v="2024-08-01T00:00:00"/>
    <x v="0"/>
    <n v="15"/>
    <x v="1"/>
    <x v="0"/>
    <x v="0"/>
    <s v="Yes"/>
    <n v="20"/>
    <n v="3"/>
    <n v="62"/>
  </r>
  <r>
    <n v="3389"/>
    <s v="Vanessa Lima"/>
    <x v="2"/>
    <d v="2024-08-02T00:00:00"/>
    <x v="1"/>
    <n v="10"/>
    <x v="0"/>
    <x v="1"/>
    <x v="1"/>
    <s v="Yes"/>
    <n v="20"/>
    <n v="10"/>
    <n v="20"/>
  </r>
  <r>
    <n v="3390"/>
    <s v="Wagner Santos"/>
    <x v="1"/>
    <d v="2024-08-03T00:00:00"/>
    <x v="0"/>
    <n v="5"/>
    <x v="2"/>
    <x v="1"/>
    <x v="1"/>
    <s v="No"/>
    <n v="0"/>
    <n v="0"/>
    <n v="5"/>
  </r>
  <r>
    <n v="3391"/>
    <s v="Xuxa Meneghel"/>
    <x v="0"/>
    <d v="2024-08-04T00:00:00"/>
    <x v="1"/>
    <n v="15"/>
    <x v="0"/>
    <x v="0"/>
    <x v="0"/>
    <s v="Yes"/>
    <n v="20"/>
    <n v="15"/>
    <n v="50"/>
  </r>
  <r>
    <n v="3392"/>
    <s v="Yasmin Silva"/>
    <x v="2"/>
    <d v="2024-08-05T00:00:00"/>
    <x v="0"/>
    <n v="10"/>
    <x v="1"/>
    <x v="1"/>
    <x v="1"/>
    <s v="Yes"/>
    <n v="20"/>
    <n v="15"/>
    <n v="15"/>
  </r>
  <r>
    <n v="3393"/>
    <s v="Zacarias de Souza"/>
    <x v="1"/>
    <d v="2024-08-06T00:00:00"/>
    <x v="1"/>
    <n v="5"/>
    <x v="0"/>
    <x v="1"/>
    <x v="1"/>
    <s v="No"/>
    <n v="0"/>
    <n v="1"/>
    <n v="4"/>
  </r>
  <r>
    <n v="3394"/>
    <s v="André Lima"/>
    <x v="0"/>
    <d v="2024-08-07T00:00:00"/>
    <x v="0"/>
    <n v="15"/>
    <x v="2"/>
    <x v="0"/>
    <x v="0"/>
    <s v="Yes"/>
    <n v="20"/>
    <n v="7"/>
    <n v="58"/>
  </r>
  <r>
    <n v="3395"/>
    <s v="Bianca Freitas"/>
    <x v="2"/>
    <d v="2024-08-08T00:00:00"/>
    <x v="1"/>
    <n v="10"/>
    <x v="0"/>
    <x v="1"/>
    <x v="1"/>
    <s v="Yes"/>
    <n v="20"/>
    <n v="10"/>
    <n v="20"/>
  </r>
  <r>
    <n v="3396"/>
    <s v="Caio Mendes"/>
    <x v="1"/>
    <d v="2024-08-09T00:00:00"/>
    <x v="0"/>
    <n v="5"/>
    <x v="1"/>
    <x v="1"/>
    <x v="1"/>
    <s v="No"/>
    <n v="0"/>
    <n v="0"/>
    <n v="5"/>
  </r>
  <r>
    <n v="3397"/>
    <s v="Daniela Moura"/>
    <x v="0"/>
    <d v="2024-08-10T00:00:00"/>
    <x v="1"/>
    <n v="15"/>
    <x v="0"/>
    <x v="0"/>
    <x v="0"/>
    <s v="Yes"/>
    <n v="20"/>
    <n v="20"/>
    <n v="45"/>
  </r>
  <r>
    <n v="3398"/>
    <s v="Eduardo Costa"/>
    <x v="2"/>
    <d v="2024-08-11T00:00:00"/>
    <x v="0"/>
    <n v="10"/>
    <x v="2"/>
    <x v="1"/>
    <x v="1"/>
    <s v="Yes"/>
    <n v="20"/>
    <n v="15"/>
    <n v="15"/>
  </r>
  <r>
    <n v="3399"/>
    <s v="Fernanda Gomes"/>
    <x v="1"/>
    <d v="2024-08-12T00:00:00"/>
    <x v="1"/>
    <n v="5"/>
    <x v="0"/>
    <x v="1"/>
    <x v="1"/>
    <s v="No"/>
    <n v="0"/>
    <n v="1"/>
    <n v="4"/>
  </r>
  <r>
    <n v="3400"/>
    <s v="Guilherme Souza"/>
    <x v="0"/>
    <d v="2024-08-13T00:00:00"/>
    <x v="0"/>
    <n v="15"/>
    <x v="1"/>
    <x v="0"/>
    <x v="0"/>
    <s v="Yes"/>
    <n v="20"/>
    <n v="5"/>
    <n v="60"/>
  </r>
  <r>
    <n v="3401"/>
    <s v="Helena Ribeiro"/>
    <x v="2"/>
    <d v="2024-08-14T00:00:00"/>
    <x v="1"/>
    <n v="10"/>
    <x v="0"/>
    <x v="1"/>
    <x v="1"/>
    <s v="Yes"/>
    <n v="20"/>
    <n v="10"/>
    <n v="20"/>
  </r>
  <r>
    <n v="3402"/>
    <s v="Igor Santos"/>
    <x v="1"/>
    <d v="2024-08-15T00:00:00"/>
    <x v="0"/>
    <n v="5"/>
    <x v="2"/>
    <x v="1"/>
    <x v="1"/>
    <s v="No"/>
    <n v="0"/>
    <n v="0"/>
    <n v="5"/>
  </r>
  <r>
    <n v="3403"/>
    <s v="João Carvalho"/>
    <x v="0"/>
    <d v="2024-08-16T00:00:00"/>
    <x v="1"/>
    <n v="15"/>
    <x v="0"/>
    <x v="0"/>
    <x v="0"/>
    <s v="Yes"/>
    <n v="20"/>
    <n v="3"/>
    <n v="62"/>
  </r>
  <r>
    <n v="3404"/>
    <s v="Klara Fagundes"/>
    <x v="2"/>
    <d v="2024-08-17T00:00:00"/>
    <x v="0"/>
    <n v="10"/>
    <x v="1"/>
    <x v="1"/>
    <x v="1"/>
    <s v="Yes"/>
    <n v="20"/>
    <n v="15"/>
    <n v="15"/>
  </r>
  <r>
    <n v="3405"/>
    <s v="Lúcia Mendonça"/>
    <x v="1"/>
    <d v="2024-08-18T00:00:00"/>
    <x v="1"/>
    <n v="5"/>
    <x v="0"/>
    <x v="1"/>
    <x v="1"/>
    <s v="No"/>
    <n v="0"/>
    <n v="1"/>
    <n v="4"/>
  </r>
  <r>
    <n v="3406"/>
    <s v="Marcelo Novaes"/>
    <x v="1"/>
    <d v="2024-08-19T00:00:00"/>
    <x v="0"/>
    <n v="5"/>
    <x v="0"/>
    <x v="1"/>
    <x v="1"/>
    <s v="No"/>
    <n v="0"/>
    <n v="0"/>
    <n v="5"/>
  </r>
  <r>
    <n v="3407"/>
    <s v="Nina Pacheco"/>
    <x v="0"/>
    <d v="2024-08-20T00:00:00"/>
    <x v="1"/>
    <n v="15"/>
    <x v="2"/>
    <x v="0"/>
    <x v="0"/>
    <s v="Yes"/>
    <n v="20"/>
    <n v="7"/>
    <n v="58"/>
  </r>
  <r>
    <n v="3408"/>
    <s v="Olívia Rios"/>
    <x v="2"/>
    <d v="2024-08-21T00:00:00"/>
    <x v="0"/>
    <n v="10"/>
    <x v="1"/>
    <x v="1"/>
    <x v="1"/>
    <s v="Yes"/>
    <n v="20"/>
    <n v="10"/>
    <n v="20"/>
  </r>
  <r>
    <n v="3409"/>
    <s v="Paulo Quintana"/>
    <x v="1"/>
    <d v="2024-08-22T00:00:00"/>
    <x v="1"/>
    <n v="5"/>
    <x v="2"/>
    <x v="1"/>
    <x v="1"/>
    <s v="No"/>
    <n v="0"/>
    <n v="1"/>
    <n v="4"/>
  </r>
  <r>
    <n v="3410"/>
    <s v="Raquel Domingos"/>
    <x v="0"/>
    <d v="2024-08-23T00:00:00"/>
    <x v="0"/>
    <n v="15"/>
    <x v="0"/>
    <x v="0"/>
    <x v="0"/>
    <s v="Yes"/>
    <n v="20"/>
    <n v="15"/>
    <n v="50"/>
  </r>
  <r>
    <n v="3411"/>
    <s v="Samuel Viana"/>
    <x v="2"/>
    <d v="2024-08-24T00:00:00"/>
    <x v="1"/>
    <n v="10"/>
    <x v="0"/>
    <x v="1"/>
    <x v="1"/>
    <s v="Yes"/>
    <n v="20"/>
    <n v="5"/>
    <n v="25"/>
  </r>
  <r>
    <n v="3412"/>
    <s v="Tatiane Rocha"/>
    <x v="1"/>
    <d v="2024-08-25T00:00:00"/>
    <x v="0"/>
    <n v="5"/>
    <x v="1"/>
    <x v="1"/>
    <x v="1"/>
    <s v="No"/>
    <n v="0"/>
    <n v="0"/>
    <n v="5"/>
  </r>
  <r>
    <n v="3413"/>
    <s v="Ulysses Farias"/>
    <x v="0"/>
    <d v="2024-08-26T00:00:00"/>
    <x v="1"/>
    <n v="15"/>
    <x v="2"/>
    <x v="0"/>
    <x v="0"/>
    <s v="Yes"/>
    <n v="20"/>
    <n v="20"/>
    <n v="45"/>
  </r>
  <r>
    <n v="3414"/>
    <s v="Vanessa Moreira"/>
    <x v="2"/>
    <d v="2024-08-27T00:00:00"/>
    <x v="0"/>
    <n v="10"/>
    <x v="2"/>
    <x v="1"/>
    <x v="1"/>
    <s v="Yes"/>
    <n v="20"/>
    <n v="12"/>
    <n v="18"/>
  </r>
  <r>
    <n v="3415"/>
    <s v="William Carvalho"/>
    <x v="1"/>
    <d v="2024-08-28T00:00:00"/>
    <x v="1"/>
    <n v="5"/>
    <x v="0"/>
    <x v="1"/>
    <x v="1"/>
    <s v="No"/>
    <n v="0"/>
    <n v="2"/>
    <n v="3"/>
  </r>
  <r>
    <n v="3416"/>
    <s v="Ximena Barros"/>
    <x v="0"/>
    <d v="2024-08-29T00:00:00"/>
    <x v="0"/>
    <n v="15"/>
    <x v="1"/>
    <x v="0"/>
    <x v="0"/>
    <s v="Yes"/>
    <n v="20"/>
    <n v="5"/>
    <n v="60"/>
  </r>
  <r>
    <n v="3417"/>
    <s v="Yara Machado"/>
    <x v="2"/>
    <d v="2024-08-30T00:00:00"/>
    <x v="1"/>
    <n v="10"/>
    <x v="0"/>
    <x v="1"/>
    <x v="1"/>
    <s v="Yes"/>
    <n v="20"/>
    <n v="10"/>
    <n v="20"/>
  </r>
  <r>
    <n v="3418"/>
    <s v="Zacarias Costa"/>
    <x v="1"/>
    <d v="2024-08-31T00:00:00"/>
    <x v="0"/>
    <n v="5"/>
    <x v="2"/>
    <x v="1"/>
    <x v="1"/>
    <s v="No"/>
    <n v="0"/>
    <n v="0"/>
    <n v="5"/>
  </r>
  <r>
    <n v="3419"/>
    <s v="André Lopes"/>
    <x v="0"/>
    <d v="2024-09-01T00:00:00"/>
    <x v="1"/>
    <n v="15"/>
    <x v="0"/>
    <x v="0"/>
    <x v="0"/>
    <s v="Yes"/>
    <n v="20"/>
    <n v="3"/>
    <n v="62"/>
  </r>
  <r>
    <n v="3420"/>
    <s v="Beatriz Souza"/>
    <x v="2"/>
    <d v="2024-09-02T00:00:00"/>
    <x v="0"/>
    <n v="10"/>
    <x v="1"/>
    <x v="1"/>
    <x v="1"/>
    <s v="Yes"/>
    <n v="20"/>
    <n v="15"/>
    <n v="15"/>
  </r>
  <r>
    <n v="3421"/>
    <s v="Caio Pereira"/>
    <x v="1"/>
    <d v="2024-09-03T00:00:00"/>
    <x v="1"/>
    <n v="5"/>
    <x v="0"/>
    <x v="1"/>
    <x v="1"/>
    <s v="No"/>
    <n v="0"/>
    <n v="1"/>
    <n v="4"/>
  </r>
  <r>
    <n v="3422"/>
    <s v="Daniela Araújo"/>
    <x v="0"/>
    <d v="2024-09-04T00:00:00"/>
    <x v="0"/>
    <n v="15"/>
    <x v="2"/>
    <x v="0"/>
    <x v="0"/>
    <s v="Yes"/>
    <n v="20"/>
    <n v="7"/>
    <n v="58"/>
  </r>
  <r>
    <n v="3423"/>
    <s v="Eduardo Santos"/>
    <x v="2"/>
    <d v="2024-09-05T00:00:00"/>
    <x v="1"/>
    <n v="10"/>
    <x v="0"/>
    <x v="1"/>
    <x v="1"/>
    <s v="Yes"/>
    <n v="20"/>
    <n v="10"/>
    <n v="20"/>
  </r>
  <r>
    <n v="3424"/>
    <s v="Fernanda Lima"/>
    <x v="1"/>
    <d v="2024-09-06T00:00:00"/>
    <x v="0"/>
    <n v="5"/>
    <x v="1"/>
    <x v="1"/>
    <x v="1"/>
    <s v="No"/>
    <n v="0"/>
    <n v="0"/>
    <n v="5"/>
  </r>
  <r>
    <n v="3425"/>
    <s v="Gabriel Teixeira"/>
    <x v="0"/>
    <d v="2024-09-07T00:00:00"/>
    <x v="1"/>
    <n v="15"/>
    <x v="0"/>
    <x v="0"/>
    <x v="0"/>
    <s v="Yes"/>
    <n v="20"/>
    <n v="20"/>
    <n v="45"/>
  </r>
  <r>
    <n v="3426"/>
    <s v="Helena Ribeiro"/>
    <x v="2"/>
    <d v="2024-09-08T00:00:00"/>
    <x v="0"/>
    <n v="10"/>
    <x v="2"/>
    <x v="1"/>
    <x v="1"/>
    <s v="Yes"/>
    <n v="20"/>
    <n v="15"/>
    <n v="15"/>
  </r>
  <r>
    <n v="3427"/>
    <s v="Igor Mendes"/>
    <x v="1"/>
    <d v="2024-09-09T00:00:00"/>
    <x v="1"/>
    <n v="5"/>
    <x v="0"/>
    <x v="1"/>
    <x v="1"/>
    <s v="No"/>
    <n v="0"/>
    <n v="1"/>
    <n v="4"/>
  </r>
  <r>
    <n v="3428"/>
    <s v="Joana Silveira"/>
    <x v="0"/>
    <d v="2024-09-10T00:00:00"/>
    <x v="0"/>
    <n v="15"/>
    <x v="1"/>
    <x v="0"/>
    <x v="0"/>
    <s v="Yes"/>
    <n v="20"/>
    <n v="3"/>
    <n v="62"/>
  </r>
  <r>
    <n v="3429"/>
    <s v="Lucas Martins"/>
    <x v="2"/>
    <d v="2024-09-11T00:00:00"/>
    <x v="1"/>
    <n v="10"/>
    <x v="0"/>
    <x v="1"/>
    <x v="1"/>
    <s v="Yes"/>
    <n v="20"/>
    <n v="10"/>
    <n v="20"/>
  </r>
  <r>
    <n v="3430"/>
    <s v="Marcela Gouveia"/>
    <x v="1"/>
    <d v="2024-09-12T00:00:00"/>
    <x v="0"/>
    <n v="5"/>
    <x v="2"/>
    <x v="1"/>
    <x v="1"/>
    <s v="No"/>
    <n v="0"/>
    <n v="0"/>
    <n v="5"/>
  </r>
  <r>
    <n v="3431"/>
    <s v="Nicolas Borges"/>
    <x v="0"/>
    <d v="2024-09-13T00:00:00"/>
    <x v="1"/>
    <n v="15"/>
    <x v="0"/>
    <x v="0"/>
    <x v="0"/>
    <s v="Yes"/>
    <n v="20"/>
    <n v="15"/>
    <n v="50"/>
  </r>
  <r>
    <n v="3432"/>
    <s v="Olivia Freitas"/>
    <x v="2"/>
    <d v="2024-09-14T00:00:00"/>
    <x v="0"/>
    <n v="10"/>
    <x v="1"/>
    <x v="1"/>
    <x v="1"/>
    <s v="Yes"/>
    <n v="20"/>
    <n v="15"/>
    <n v="15"/>
  </r>
  <r>
    <n v="3433"/>
    <s v="Paulo Nogueira"/>
    <x v="1"/>
    <d v="2024-09-15T00:00:00"/>
    <x v="1"/>
    <n v="5"/>
    <x v="0"/>
    <x v="1"/>
    <x v="1"/>
    <s v="No"/>
    <n v="0"/>
    <n v="1"/>
    <n v="4"/>
  </r>
  <r>
    <n v="3434"/>
    <s v="Raquel Andrade"/>
    <x v="0"/>
    <d v="2024-09-16T00:00:00"/>
    <x v="0"/>
    <n v="15"/>
    <x v="2"/>
    <x v="0"/>
    <x v="0"/>
    <s v="Yes"/>
    <n v="20"/>
    <n v="7"/>
    <n v="58"/>
  </r>
  <r>
    <n v="3435"/>
    <s v="Sônia Carvalho"/>
    <x v="2"/>
    <d v="2024-09-17T00:00:00"/>
    <x v="1"/>
    <n v="10"/>
    <x v="0"/>
    <x v="1"/>
    <x v="1"/>
    <s v="Yes"/>
    <n v="20"/>
    <n v="10"/>
    <n v="20"/>
  </r>
  <r>
    <n v="3436"/>
    <s v="Tiago Rodrigues"/>
    <x v="1"/>
    <d v="2024-09-18T00:00:00"/>
    <x v="0"/>
    <n v="5"/>
    <x v="0"/>
    <x v="1"/>
    <x v="1"/>
    <s v="No"/>
    <n v="0"/>
    <n v="0"/>
    <n v="5"/>
  </r>
  <r>
    <n v="3437"/>
    <s v="Ursula Monteiro"/>
    <x v="0"/>
    <d v="2024-09-19T00:00:00"/>
    <x v="1"/>
    <n v="15"/>
    <x v="2"/>
    <x v="0"/>
    <x v="0"/>
    <s v="Yes"/>
    <n v="20"/>
    <n v="7"/>
    <n v="58"/>
  </r>
  <r>
    <n v="3438"/>
    <s v="Vanessa Pereira"/>
    <x v="2"/>
    <d v="2024-09-20T00:00:00"/>
    <x v="0"/>
    <n v="10"/>
    <x v="1"/>
    <x v="1"/>
    <x v="1"/>
    <s v="Yes"/>
    <n v="20"/>
    <n v="10"/>
    <n v="20"/>
  </r>
  <r>
    <n v="3439"/>
    <s v="Walter Silva"/>
    <x v="1"/>
    <d v="2024-09-21T00:00:00"/>
    <x v="1"/>
    <n v="5"/>
    <x v="2"/>
    <x v="1"/>
    <x v="1"/>
    <s v="No"/>
    <n v="0"/>
    <n v="1"/>
    <n v="4"/>
  </r>
  <r>
    <n v="3440"/>
    <s v="Xavier Almeida"/>
    <x v="0"/>
    <d v="2024-09-22T00:00:00"/>
    <x v="0"/>
    <n v="15"/>
    <x v="0"/>
    <x v="0"/>
    <x v="0"/>
    <s v="Yes"/>
    <n v="20"/>
    <n v="15"/>
    <n v="50"/>
  </r>
  <r>
    <n v="3441"/>
    <s v="Yasmine Correia"/>
    <x v="2"/>
    <d v="2024-09-23T00:00:00"/>
    <x v="1"/>
    <n v="10"/>
    <x v="0"/>
    <x v="1"/>
    <x v="1"/>
    <s v="Yes"/>
    <n v="20"/>
    <n v="5"/>
    <n v="25"/>
  </r>
  <r>
    <n v="3442"/>
    <s v="Zacarias Almeida"/>
    <x v="1"/>
    <d v="2024-09-24T00:00:00"/>
    <x v="0"/>
    <n v="5"/>
    <x v="1"/>
    <x v="1"/>
    <x v="1"/>
    <s v="No"/>
    <n v="0"/>
    <n v="0"/>
    <n v="5"/>
  </r>
  <r>
    <n v="3443"/>
    <s v="Amanda Costa"/>
    <x v="0"/>
    <d v="2024-09-25T00:00:00"/>
    <x v="1"/>
    <n v="15"/>
    <x v="2"/>
    <x v="0"/>
    <x v="0"/>
    <s v="Yes"/>
    <n v="20"/>
    <n v="20"/>
    <n v="45"/>
  </r>
  <r>
    <n v="3444"/>
    <s v="Bruno Ferreira"/>
    <x v="2"/>
    <d v="2024-09-26T00:00:00"/>
    <x v="0"/>
    <n v="10"/>
    <x v="2"/>
    <x v="1"/>
    <x v="1"/>
    <s v="Yes"/>
    <n v="20"/>
    <n v="12"/>
    <n v="18"/>
  </r>
  <r>
    <n v="3445"/>
    <s v="Carla Dias"/>
    <x v="1"/>
    <d v="2024-09-27T00:00:00"/>
    <x v="1"/>
    <n v="5"/>
    <x v="0"/>
    <x v="1"/>
    <x v="1"/>
    <s v="No"/>
    <n v="0"/>
    <n v="2"/>
    <n v="3"/>
  </r>
  <r>
    <n v="3446"/>
    <s v="Diogo Martins"/>
    <x v="0"/>
    <d v="2024-09-28T00:00:00"/>
    <x v="0"/>
    <n v="15"/>
    <x v="1"/>
    <x v="0"/>
    <x v="0"/>
    <s v="Yes"/>
    <n v="20"/>
    <n v="5"/>
    <n v="60"/>
  </r>
  <r>
    <n v="3447"/>
    <s v="Elisa Campos"/>
    <x v="2"/>
    <d v="2024-09-29T00:00:00"/>
    <x v="1"/>
    <n v="10"/>
    <x v="0"/>
    <x v="1"/>
    <x v="1"/>
    <s v="Yes"/>
    <n v="20"/>
    <n v="10"/>
    <n v="20"/>
  </r>
  <r>
    <n v="3448"/>
    <s v="Fabiana Lima"/>
    <x v="1"/>
    <d v="2024-09-30T00:00:00"/>
    <x v="0"/>
    <n v="5"/>
    <x v="2"/>
    <x v="1"/>
    <x v="1"/>
    <s v="No"/>
    <n v="0"/>
    <n v="0"/>
    <n v="5"/>
  </r>
  <r>
    <n v="3449"/>
    <s v="Gabriel Santos"/>
    <x v="0"/>
    <d v="2024-10-01T00:00:00"/>
    <x v="1"/>
    <n v="15"/>
    <x v="0"/>
    <x v="0"/>
    <x v="0"/>
    <s v="Yes"/>
    <n v="20"/>
    <n v="3"/>
    <n v="62"/>
  </r>
  <r>
    <n v="3450"/>
    <s v="Helena Ferreira"/>
    <x v="2"/>
    <d v="2024-10-02T00:00:00"/>
    <x v="0"/>
    <n v="10"/>
    <x v="1"/>
    <x v="1"/>
    <x v="1"/>
    <s v="Yes"/>
    <n v="20"/>
    <n v="15"/>
    <n v="15"/>
  </r>
  <r>
    <n v="3451"/>
    <s v="Ígor Nunes"/>
    <x v="1"/>
    <d v="2024-10-03T00:00:00"/>
    <x v="1"/>
    <n v="5"/>
    <x v="0"/>
    <x v="1"/>
    <x v="1"/>
    <s v="No"/>
    <n v="0"/>
    <n v="1"/>
    <n v="4"/>
  </r>
  <r>
    <n v="3452"/>
    <s v="Joana Silveira"/>
    <x v="0"/>
    <d v="2024-10-04T00:00:00"/>
    <x v="0"/>
    <n v="15"/>
    <x v="2"/>
    <x v="0"/>
    <x v="0"/>
    <s v="Yes"/>
    <n v="20"/>
    <n v="7"/>
    <n v="58"/>
  </r>
  <r>
    <n v="3453"/>
    <s v="Kléber Oliveira"/>
    <x v="2"/>
    <d v="2024-10-05T00:00:00"/>
    <x v="1"/>
    <n v="10"/>
    <x v="0"/>
    <x v="1"/>
    <x v="1"/>
    <s v="Yes"/>
    <n v="20"/>
    <n v="10"/>
    <n v="20"/>
  </r>
  <r>
    <n v="3454"/>
    <s v="Luciana Morais"/>
    <x v="1"/>
    <d v="2024-10-06T00:00:00"/>
    <x v="0"/>
    <n v="5"/>
    <x v="1"/>
    <x v="1"/>
    <x v="1"/>
    <s v="No"/>
    <n v="0"/>
    <n v="0"/>
    <n v="5"/>
  </r>
  <r>
    <n v="3455"/>
    <s v="Marcos Vinícius"/>
    <x v="0"/>
    <d v="2024-10-07T00:00:00"/>
    <x v="1"/>
    <n v="15"/>
    <x v="0"/>
    <x v="0"/>
    <x v="0"/>
    <s v="Yes"/>
    <n v="20"/>
    <n v="20"/>
    <n v="45"/>
  </r>
  <r>
    <n v="3456"/>
    <s v="Natália Barros"/>
    <x v="2"/>
    <d v="2024-10-08T00:00:00"/>
    <x v="0"/>
    <n v="10"/>
    <x v="2"/>
    <x v="1"/>
    <x v="1"/>
    <s v="Yes"/>
    <n v="20"/>
    <n v="15"/>
    <n v="15"/>
  </r>
  <r>
    <n v="3457"/>
    <s v="Oscar Sampaio"/>
    <x v="1"/>
    <d v="2024-10-09T00:00:00"/>
    <x v="1"/>
    <n v="5"/>
    <x v="0"/>
    <x v="1"/>
    <x v="1"/>
    <s v="No"/>
    <n v="0"/>
    <n v="1"/>
    <n v="4"/>
  </r>
  <r>
    <n v="3458"/>
    <s v="Patrícia Leite"/>
    <x v="0"/>
    <d v="2024-10-10T00:00:00"/>
    <x v="0"/>
    <n v="15"/>
    <x v="1"/>
    <x v="0"/>
    <x v="0"/>
    <s v="Yes"/>
    <n v="20"/>
    <n v="3"/>
    <n v="62"/>
  </r>
  <r>
    <n v="3459"/>
    <s v="Quênia Rocha"/>
    <x v="2"/>
    <d v="2024-10-11T00:00:00"/>
    <x v="1"/>
    <n v="10"/>
    <x v="0"/>
    <x v="1"/>
    <x v="1"/>
    <s v="Yes"/>
    <n v="20"/>
    <n v="10"/>
    <n v="20"/>
  </r>
  <r>
    <n v="3460"/>
    <s v="Rafael Torres"/>
    <x v="1"/>
    <d v="2024-10-12T00:00:00"/>
    <x v="0"/>
    <n v="5"/>
    <x v="2"/>
    <x v="1"/>
    <x v="1"/>
    <s v="No"/>
    <n v="0"/>
    <n v="0"/>
    <n v="5"/>
  </r>
  <r>
    <n v="3461"/>
    <s v="Sandra Gouveia"/>
    <x v="0"/>
    <d v="2024-10-13T00:00:00"/>
    <x v="1"/>
    <n v="15"/>
    <x v="0"/>
    <x v="0"/>
    <x v="0"/>
    <s v="Yes"/>
    <n v="20"/>
    <n v="15"/>
    <n v="50"/>
  </r>
  <r>
    <n v="3462"/>
    <s v="Tiago Lacerda"/>
    <x v="2"/>
    <d v="2024-10-14T00:00:00"/>
    <x v="0"/>
    <n v="10"/>
    <x v="1"/>
    <x v="1"/>
    <x v="1"/>
    <s v="Yes"/>
    <n v="20"/>
    <n v="15"/>
    <n v="15"/>
  </r>
  <r>
    <n v="3463"/>
    <s v="Ursula Fonseca"/>
    <x v="1"/>
    <d v="2024-10-15T00:00:00"/>
    <x v="1"/>
    <n v="5"/>
    <x v="0"/>
    <x v="1"/>
    <x v="1"/>
    <s v="No"/>
    <n v="0"/>
    <n v="1"/>
    <n v="4"/>
  </r>
  <r>
    <n v="3464"/>
    <s v="Vanessa Andrade"/>
    <x v="0"/>
    <d v="2024-10-16T00:00:00"/>
    <x v="0"/>
    <n v="15"/>
    <x v="2"/>
    <x v="0"/>
    <x v="0"/>
    <s v="Yes"/>
    <n v="20"/>
    <n v="7"/>
    <n v="58"/>
  </r>
  <r>
    <n v="3465"/>
    <s v="William Castro"/>
    <x v="2"/>
    <d v="2024-10-17T00:00:00"/>
    <x v="1"/>
    <n v="10"/>
    <x v="0"/>
    <x v="1"/>
    <x v="1"/>
    <s v="Yes"/>
    <n v="20"/>
    <n v="10"/>
    <n v="20"/>
  </r>
  <r>
    <n v="3466"/>
    <s v="Xavier Monteiro"/>
    <x v="1"/>
    <d v="2024-10-18T00:00:00"/>
    <x v="0"/>
    <n v="5"/>
    <x v="1"/>
    <x v="1"/>
    <x v="1"/>
    <s v="No"/>
    <n v="0"/>
    <n v="0"/>
    <n v="5"/>
  </r>
  <r>
    <n v="3467"/>
    <s v="Yasmin Figueira"/>
    <x v="0"/>
    <d v="2024-10-19T00:00:00"/>
    <x v="1"/>
    <n v="15"/>
    <x v="0"/>
    <x v="0"/>
    <x v="0"/>
    <s v="Yes"/>
    <n v="20"/>
    <n v="15"/>
    <n v="50"/>
  </r>
  <r>
    <n v="3468"/>
    <s v="Zacarias Mendonça"/>
    <x v="2"/>
    <d v="2024-10-20T00:00:00"/>
    <x v="0"/>
    <n v="10"/>
    <x v="2"/>
    <x v="1"/>
    <x v="1"/>
    <s v="Yes"/>
    <n v="20"/>
    <n v="12"/>
    <n v="18"/>
  </r>
  <r>
    <n v="3469"/>
    <s v="Amanda Menezes"/>
    <x v="1"/>
    <d v="2024-10-21T00:00:00"/>
    <x v="1"/>
    <n v="5"/>
    <x v="0"/>
    <x v="1"/>
    <x v="1"/>
    <s v="No"/>
    <n v="0"/>
    <n v="2"/>
    <n v="3"/>
  </r>
  <r>
    <n v="3470"/>
    <s v="Bruno Santos"/>
    <x v="0"/>
    <d v="2024-10-22T00:00:00"/>
    <x v="0"/>
    <n v="15"/>
    <x v="1"/>
    <x v="0"/>
    <x v="0"/>
    <s v="Yes"/>
    <n v="20"/>
    <n v="5"/>
    <n v="60"/>
  </r>
  <r>
    <n v="3471"/>
    <s v="Carla Ferreira"/>
    <x v="2"/>
    <d v="2024-10-23T00:00:00"/>
    <x v="1"/>
    <n v="10"/>
    <x v="0"/>
    <x v="1"/>
    <x v="1"/>
    <s v="Yes"/>
    <n v="20"/>
    <n v="10"/>
    <n v="20"/>
  </r>
  <r>
    <n v="3472"/>
    <s v="Diogo Alves"/>
    <x v="1"/>
    <d v="2024-10-24T00:00:00"/>
    <x v="0"/>
    <n v="5"/>
    <x v="2"/>
    <x v="1"/>
    <x v="1"/>
    <s v="No"/>
    <n v="0"/>
    <n v="0"/>
    <n v="5"/>
  </r>
  <r>
    <n v="3473"/>
    <s v="Elisa Neves"/>
    <x v="0"/>
    <d v="2024-10-25T00:00:00"/>
    <x v="1"/>
    <n v="15"/>
    <x v="0"/>
    <x v="0"/>
    <x v="0"/>
    <s v="Yes"/>
    <n v="20"/>
    <n v="3"/>
    <n v="62"/>
  </r>
  <r>
    <n v="3474"/>
    <s v="Fabiano Pires"/>
    <x v="2"/>
    <d v="2024-10-26T00:00:00"/>
    <x v="0"/>
    <n v="10"/>
    <x v="1"/>
    <x v="1"/>
    <x v="1"/>
    <s v="Yes"/>
    <n v="20"/>
    <n v="15"/>
    <n v="15"/>
  </r>
  <r>
    <n v="3475"/>
    <s v="Giovana Ribeiro"/>
    <x v="1"/>
    <d v="2024-10-27T00:00:00"/>
    <x v="1"/>
    <n v="5"/>
    <x v="0"/>
    <x v="1"/>
    <x v="1"/>
    <s v="No"/>
    <n v="0"/>
    <n v="1"/>
    <n v="4"/>
  </r>
  <r>
    <n v="3476"/>
    <s v="Hélio Costa"/>
    <x v="0"/>
    <d v="2024-10-28T00:00:00"/>
    <x v="0"/>
    <n v="15"/>
    <x v="2"/>
    <x v="0"/>
    <x v="0"/>
    <s v="Yes"/>
    <n v="20"/>
    <n v="7"/>
    <n v="58"/>
  </r>
  <r>
    <n v="3477"/>
    <s v="Íris Loureiro"/>
    <x v="2"/>
    <d v="2024-10-29T00:00:00"/>
    <x v="1"/>
    <n v="10"/>
    <x v="0"/>
    <x v="1"/>
    <x v="1"/>
    <s v="Yes"/>
    <n v="20"/>
    <n v="10"/>
    <n v="20"/>
  </r>
  <r>
    <n v="3478"/>
    <s v="João Pereira"/>
    <x v="1"/>
    <d v="2024-10-30T00:00:00"/>
    <x v="0"/>
    <n v="5"/>
    <x v="1"/>
    <x v="1"/>
    <x v="1"/>
    <s v="No"/>
    <n v="0"/>
    <n v="0"/>
    <n v="5"/>
  </r>
  <r>
    <n v="3479"/>
    <s v="Klara Silva"/>
    <x v="0"/>
    <d v="2024-10-31T00:00:00"/>
    <x v="1"/>
    <n v="15"/>
    <x v="0"/>
    <x v="0"/>
    <x v="0"/>
    <s v="Yes"/>
    <n v="20"/>
    <n v="20"/>
    <n v="45"/>
  </r>
  <r>
    <n v="3480"/>
    <s v="Luciana Barros"/>
    <x v="2"/>
    <d v="2024-11-01T00:00:00"/>
    <x v="0"/>
    <n v="10"/>
    <x v="2"/>
    <x v="1"/>
    <x v="1"/>
    <s v="Yes"/>
    <n v="20"/>
    <n v="15"/>
    <n v="15"/>
  </r>
  <r>
    <n v="3481"/>
    <s v="Marcos Gomes"/>
    <x v="1"/>
    <d v="2024-11-02T00:00:00"/>
    <x v="1"/>
    <n v="5"/>
    <x v="0"/>
    <x v="1"/>
    <x v="1"/>
    <s v="No"/>
    <n v="0"/>
    <n v="1"/>
    <n v="4"/>
  </r>
  <r>
    <n v="3482"/>
    <s v="Natália Soares"/>
    <x v="0"/>
    <d v="2024-11-03T00:00:00"/>
    <x v="0"/>
    <n v="15"/>
    <x v="1"/>
    <x v="0"/>
    <x v="0"/>
    <s v="Yes"/>
    <n v="20"/>
    <n v="3"/>
    <n v="62"/>
  </r>
  <r>
    <n v="3483"/>
    <s v="Oscar Machado"/>
    <x v="2"/>
    <d v="2024-11-04T00:00:00"/>
    <x v="1"/>
    <n v="10"/>
    <x v="0"/>
    <x v="1"/>
    <x v="1"/>
    <s v="Yes"/>
    <n v="20"/>
    <n v="10"/>
    <n v="20"/>
  </r>
  <r>
    <n v="3484"/>
    <s v="Patrícia Lima"/>
    <x v="1"/>
    <d v="2024-11-05T00:00:00"/>
    <x v="0"/>
    <n v="5"/>
    <x v="2"/>
    <x v="1"/>
    <x v="1"/>
    <s v="No"/>
    <n v="0"/>
    <n v="0"/>
    <n v="5"/>
  </r>
  <r>
    <n v="3485"/>
    <s v="Quirino Neto"/>
    <x v="0"/>
    <d v="2024-11-06T00:00:00"/>
    <x v="1"/>
    <n v="15"/>
    <x v="0"/>
    <x v="0"/>
    <x v="0"/>
    <s v="Yes"/>
    <n v="20"/>
    <n v="15"/>
    <n v="50"/>
  </r>
  <r>
    <n v="3486"/>
    <s v="Rafaela Souza"/>
    <x v="1"/>
    <d v="2024-11-07T00:00:00"/>
    <x v="0"/>
    <n v="5"/>
    <x v="0"/>
    <x v="1"/>
    <x v="1"/>
    <s v="No"/>
    <n v="0"/>
    <n v="0"/>
    <n v="5"/>
  </r>
  <r>
    <n v="3487"/>
    <s v="Sandro Almeida"/>
    <x v="0"/>
    <d v="2024-11-08T00:00:00"/>
    <x v="1"/>
    <n v="15"/>
    <x v="2"/>
    <x v="0"/>
    <x v="0"/>
    <s v="Yes"/>
    <n v="20"/>
    <n v="7"/>
    <n v="58"/>
  </r>
  <r>
    <n v="3488"/>
    <s v="Tânia Ribeiro"/>
    <x v="2"/>
    <d v="2024-11-09T00:00:00"/>
    <x v="0"/>
    <n v="10"/>
    <x v="1"/>
    <x v="1"/>
    <x v="1"/>
    <s v="Yes"/>
    <n v="20"/>
    <n v="10"/>
    <n v="20"/>
  </r>
  <r>
    <n v="3489"/>
    <s v="Ugo Dias"/>
    <x v="1"/>
    <d v="2024-11-10T00:00:00"/>
    <x v="1"/>
    <n v="5"/>
    <x v="2"/>
    <x v="1"/>
    <x v="1"/>
    <s v="No"/>
    <n v="0"/>
    <n v="1"/>
    <n v="4"/>
  </r>
  <r>
    <n v="3490"/>
    <s v="Valéria Lima"/>
    <x v="0"/>
    <d v="2024-11-11T00:00:00"/>
    <x v="0"/>
    <n v="15"/>
    <x v="0"/>
    <x v="0"/>
    <x v="0"/>
    <s v="Yes"/>
    <n v="20"/>
    <n v="15"/>
    <n v="50"/>
  </r>
  <r>
    <n v="3491"/>
    <s v="William Fernandes"/>
    <x v="2"/>
    <d v="2024-11-12T00:00:00"/>
    <x v="1"/>
    <n v="10"/>
    <x v="0"/>
    <x v="1"/>
    <x v="1"/>
    <s v="Yes"/>
    <n v="20"/>
    <n v="5"/>
    <n v="25"/>
  </r>
  <r>
    <n v="3492"/>
    <s v="Xuxa Mendes"/>
    <x v="1"/>
    <d v="2024-11-13T00:00:00"/>
    <x v="0"/>
    <n v="5"/>
    <x v="1"/>
    <x v="1"/>
    <x v="1"/>
    <s v="No"/>
    <n v="0"/>
    <n v="0"/>
    <n v="5"/>
  </r>
  <r>
    <n v="3493"/>
    <s v="Ygor Farias"/>
    <x v="0"/>
    <d v="2024-11-14T00:00:00"/>
    <x v="1"/>
    <n v="15"/>
    <x v="2"/>
    <x v="0"/>
    <x v="0"/>
    <s v="Yes"/>
    <n v="20"/>
    <n v="20"/>
    <n v="45"/>
  </r>
  <r>
    <n v="3494"/>
    <s v="Zilda Barros"/>
    <x v="2"/>
    <d v="2024-11-15T00:00:00"/>
    <x v="0"/>
    <n v="10"/>
    <x v="2"/>
    <x v="1"/>
    <x v="1"/>
    <s v="Yes"/>
    <n v="20"/>
    <n v="12"/>
    <n v="18"/>
  </r>
  <r>
    <n v="3495"/>
    <s v="Amanda Santos"/>
    <x v="1"/>
    <d v="2024-11-16T00:00:00"/>
    <x v="1"/>
    <n v="5"/>
    <x v="0"/>
    <x v="1"/>
    <x v="1"/>
    <s v="No"/>
    <n v="0"/>
    <n v="2"/>
    <n v="3"/>
  </r>
  <r>
    <n v="3496"/>
    <s v="Bruno Costa"/>
    <x v="0"/>
    <d v="2024-11-17T00:00:00"/>
    <x v="0"/>
    <n v="15"/>
    <x v="1"/>
    <x v="0"/>
    <x v="0"/>
    <s v="Yes"/>
    <n v="20"/>
    <n v="5"/>
    <n v="60"/>
  </r>
  <r>
    <n v="3497"/>
    <s v="Carla Rodrigues"/>
    <x v="2"/>
    <d v="2024-11-18T00:00:00"/>
    <x v="1"/>
    <n v="10"/>
    <x v="0"/>
    <x v="1"/>
    <x v="1"/>
    <s v="Yes"/>
    <n v="20"/>
    <n v="10"/>
    <n v="20"/>
  </r>
  <r>
    <n v="3498"/>
    <s v="Diogo Pereira"/>
    <x v="1"/>
    <d v="2024-11-19T00:00:00"/>
    <x v="0"/>
    <n v="5"/>
    <x v="2"/>
    <x v="1"/>
    <x v="1"/>
    <s v="No"/>
    <n v="0"/>
    <n v="0"/>
    <n v="5"/>
  </r>
  <r>
    <n v="3499"/>
    <s v="Elisa Correia"/>
    <x v="0"/>
    <d v="2024-11-20T00:00:00"/>
    <x v="1"/>
    <n v="15"/>
    <x v="0"/>
    <x v="0"/>
    <x v="0"/>
    <s v="Yes"/>
    <n v="20"/>
    <n v="3"/>
    <n v="62"/>
  </r>
  <r>
    <n v="3500"/>
    <s v="Fábio Lourenço"/>
    <x v="2"/>
    <d v="2024-11-21T00:00:00"/>
    <x v="0"/>
    <n v="10"/>
    <x v="1"/>
    <x v="1"/>
    <x v="1"/>
    <s v="Yes"/>
    <n v="20"/>
    <n v="15"/>
    <n v="15"/>
  </r>
  <r>
    <n v="3501"/>
    <s v="Gabriela Neves"/>
    <x v="1"/>
    <d v="2024-11-22T00:00:00"/>
    <x v="1"/>
    <n v="5"/>
    <x v="0"/>
    <x v="1"/>
    <x v="1"/>
    <s v="No"/>
    <n v="0"/>
    <n v="1"/>
    <n v="4"/>
  </r>
  <r>
    <n v="3502"/>
    <s v="Henrique Gonçalves"/>
    <x v="0"/>
    <d v="2024-11-23T00:00:00"/>
    <x v="0"/>
    <n v="15"/>
    <x v="2"/>
    <x v="0"/>
    <x v="0"/>
    <s v="Yes"/>
    <n v="20"/>
    <n v="7"/>
    <n v="58"/>
  </r>
  <r>
    <n v="3503"/>
    <s v="Íris Santos"/>
    <x v="2"/>
    <d v="2024-11-24T00:00:00"/>
    <x v="1"/>
    <n v="10"/>
    <x v="0"/>
    <x v="1"/>
    <x v="1"/>
    <s v="Yes"/>
    <n v="20"/>
    <n v="10"/>
    <n v="20"/>
  </r>
  <r>
    <n v="3504"/>
    <s v="João Marcelo Alves"/>
    <x v="1"/>
    <d v="2024-11-25T00:00:00"/>
    <x v="0"/>
    <n v="5"/>
    <x v="1"/>
    <x v="1"/>
    <x v="1"/>
    <s v="No"/>
    <n v="0"/>
    <n v="0"/>
    <n v="5"/>
  </r>
  <r>
    <n v="3505"/>
    <s v="Klara Fonseca"/>
    <x v="0"/>
    <d v="2024-11-26T00:00:00"/>
    <x v="1"/>
    <n v="15"/>
    <x v="0"/>
    <x v="0"/>
    <x v="0"/>
    <s v="Yes"/>
    <n v="20"/>
    <n v="20"/>
    <n v="45"/>
  </r>
  <r>
    <n v="3506"/>
    <s v="Lucas Mendonça"/>
    <x v="2"/>
    <d v="2024-11-27T00:00:00"/>
    <x v="0"/>
    <n v="10"/>
    <x v="2"/>
    <x v="1"/>
    <x v="1"/>
    <s v="Yes"/>
    <n v="20"/>
    <n v="15"/>
    <n v="15"/>
  </r>
  <r>
    <n v="3507"/>
    <s v="Marcela Torres"/>
    <x v="1"/>
    <d v="2024-11-28T00:00:00"/>
    <x v="1"/>
    <n v="5"/>
    <x v="0"/>
    <x v="1"/>
    <x v="1"/>
    <s v="No"/>
    <n v="0"/>
    <n v="1"/>
    <n v="4"/>
  </r>
  <r>
    <n v="3508"/>
    <s v="Natália Castro"/>
    <x v="0"/>
    <d v="2024-11-29T00:00:00"/>
    <x v="0"/>
    <n v="15"/>
    <x v="1"/>
    <x v="0"/>
    <x v="0"/>
    <s v="Yes"/>
    <n v="20"/>
    <n v="3"/>
    <n v="62"/>
  </r>
  <r>
    <n v="3509"/>
    <s v="Oscar Martins"/>
    <x v="2"/>
    <d v="2024-11-30T00:00:00"/>
    <x v="1"/>
    <n v="10"/>
    <x v="0"/>
    <x v="1"/>
    <x v="1"/>
    <s v="Yes"/>
    <n v="20"/>
    <n v="10"/>
    <n v="20"/>
  </r>
  <r>
    <n v="3510"/>
    <s v="Patrícia Oliveira"/>
    <x v="1"/>
    <d v="2024-12-01T00:00:00"/>
    <x v="0"/>
    <n v="5"/>
    <x v="2"/>
    <x v="1"/>
    <x v="1"/>
    <s v="No"/>
    <n v="0"/>
    <n v="0"/>
    <n v="5"/>
  </r>
  <r>
    <n v="3511"/>
    <s v="Quentin Nogueira"/>
    <x v="0"/>
    <d v="2024-12-02T00:00:00"/>
    <x v="1"/>
    <n v="15"/>
    <x v="0"/>
    <x v="0"/>
    <x v="0"/>
    <s v="Yes"/>
    <n v="20"/>
    <n v="15"/>
    <n v="50"/>
  </r>
  <r>
    <n v="3512"/>
    <s v="Raquel Silva"/>
    <x v="2"/>
    <d v="2024-12-03T00:00:00"/>
    <x v="0"/>
    <n v="10"/>
    <x v="1"/>
    <x v="1"/>
    <x v="1"/>
    <s v="Yes"/>
    <n v="20"/>
    <n v="15"/>
    <n v="15"/>
  </r>
  <r>
    <n v="3513"/>
    <s v="Sandro Gomes"/>
    <x v="1"/>
    <d v="2024-12-04T00:00:00"/>
    <x v="1"/>
    <n v="5"/>
    <x v="0"/>
    <x v="1"/>
    <x v="1"/>
    <s v="No"/>
    <n v="0"/>
    <n v="1"/>
    <n v="4"/>
  </r>
  <r>
    <n v="3514"/>
    <s v="Tânia Machado"/>
    <x v="0"/>
    <d v="2024-12-05T00:00:00"/>
    <x v="0"/>
    <n v="15"/>
    <x v="2"/>
    <x v="0"/>
    <x v="0"/>
    <s v="Yes"/>
    <n v="20"/>
    <n v="7"/>
    <n v="58"/>
  </r>
  <r>
    <n v="3515"/>
    <s v="Ursula Silva"/>
    <x v="2"/>
    <d v="2024-12-06T00:00:00"/>
    <x v="1"/>
    <n v="10"/>
    <x v="0"/>
    <x v="1"/>
    <x v="1"/>
    <s v="Yes"/>
    <n v="20"/>
    <n v="10"/>
    <n v="20"/>
  </r>
  <r>
    <n v="3516"/>
    <s v="Vanessa Moraes"/>
    <x v="1"/>
    <d v="2024-12-07T00:00:00"/>
    <x v="0"/>
    <n v="5"/>
    <x v="1"/>
    <x v="1"/>
    <x v="1"/>
    <s v="No"/>
    <n v="0"/>
    <n v="0"/>
    <n v="5"/>
  </r>
  <r>
    <n v="3517"/>
    <s v="William Carvalho"/>
    <x v="0"/>
    <d v="2024-12-08T00:00:00"/>
    <x v="1"/>
    <n v="15"/>
    <x v="0"/>
    <x v="0"/>
    <x v="0"/>
    <s v="Yes"/>
    <n v="20"/>
    <n v="20"/>
    <n v="45"/>
  </r>
  <r>
    <n v="3518"/>
    <s v="Xavier Reis"/>
    <x v="2"/>
    <d v="2024-12-09T00:00:00"/>
    <x v="0"/>
    <n v="10"/>
    <x v="2"/>
    <x v="1"/>
    <x v="1"/>
    <s v="Yes"/>
    <n v="20"/>
    <n v="12"/>
    <n v="18"/>
  </r>
  <r>
    <n v="3519"/>
    <s v="Yasmin Rocha"/>
    <x v="1"/>
    <d v="2024-12-10T00:00:00"/>
    <x v="1"/>
    <n v="5"/>
    <x v="0"/>
    <x v="1"/>
    <x v="1"/>
    <s v="No"/>
    <n v="0"/>
    <n v="2"/>
    <n v="3"/>
  </r>
  <r>
    <n v="3520"/>
    <s v="Zacarias Duarte"/>
    <x v="0"/>
    <d v="2024-12-11T00:00:00"/>
    <x v="0"/>
    <n v="15"/>
    <x v="1"/>
    <x v="0"/>
    <x v="0"/>
    <s v="Yes"/>
    <n v="20"/>
    <n v="5"/>
    <n v="60"/>
  </r>
  <r>
    <n v="3521"/>
    <s v="Amanda Freitas"/>
    <x v="2"/>
    <d v="2024-12-12T00:00:00"/>
    <x v="1"/>
    <n v="10"/>
    <x v="0"/>
    <x v="1"/>
    <x v="1"/>
    <s v="Yes"/>
    <n v="20"/>
    <n v="10"/>
    <n v="20"/>
  </r>
  <r>
    <n v="3522"/>
    <s v="Bruno Almeida"/>
    <x v="1"/>
    <d v="2024-12-13T00:00:00"/>
    <x v="0"/>
    <n v="5"/>
    <x v="2"/>
    <x v="1"/>
    <x v="1"/>
    <s v="No"/>
    <n v="0"/>
    <n v="0"/>
    <n v="5"/>
  </r>
  <r>
    <n v="3523"/>
    <s v="Carla Siqueira"/>
    <x v="0"/>
    <d v="2024-12-14T00:00:00"/>
    <x v="1"/>
    <n v="15"/>
    <x v="0"/>
    <x v="0"/>
    <x v="0"/>
    <s v="Yes"/>
    <n v="20"/>
    <n v="3"/>
    <n v="6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x v="0"/>
    <n v="5"/>
    <n v="60"/>
  </r>
  <r>
    <n v="3232"/>
    <s v="Maria Oliveira"/>
    <x v="1"/>
    <d v="2024-01-15T00:00:00"/>
    <x v="1"/>
    <n v="5"/>
    <x v="1"/>
    <s v="No"/>
    <s v="-"/>
    <s v="No"/>
    <x v="1"/>
    <n v="0"/>
    <n v="5"/>
  </r>
  <r>
    <n v="3233"/>
    <s v="Lucas Fernandes"/>
    <x v="2"/>
    <d v="2024-02-10T00:00:00"/>
    <x v="0"/>
    <n v="10"/>
    <x v="2"/>
    <s v="No"/>
    <s v="-"/>
    <s v="Yes"/>
    <x v="0"/>
    <n v="10"/>
    <n v="20"/>
  </r>
  <r>
    <n v="3234"/>
    <s v="Ana Souza"/>
    <x v="0"/>
    <d v="2024-02-20T00:00:00"/>
    <x v="1"/>
    <n v="15"/>
    <x v="0"/>
    <s v="Yes"/>
    <n v="30"/>
    <s v="Yes"/>
    <x v="0"/>
    <n v="3"/>
    <n v="62"/>
  </r>
  <r>
    <n v="3235"/>
    <s v="Pedro Gonçalves"/>
    <x v="1"/>
    <d v="2024-03-05T00:00:00"/>
    <x v="0"/>
    <n v="5"/>
    <x v="0"/>
    <s v="No"/>
    <s v="-"/>
    <s v="No"/>
    <x v="1"/>
    <n v="1"/>
    <n v="4"/>
  </r>
  <r>
    <n v="3236"/>
    <s v="Felipe Costa"/>
    <x v="2"/>
    <d v="2024-03-02T00:00:00"/>
    <x v="1"/>
    <n v="10"/>
    <x v="0"/>
    <s v="No"/>
    <s v="-"/>
    <s v="Yes"/>
    <x v="0"/>
    <n v="2"/>
    <n v="28"/>
  </r>
  <r>
    <n v="3237"/>
    <s v="Camila Ribeiro"/>
    <x v="0"/>
    <d v="2024-03-03T00:00:00"/>
    <x v="0"/>
    <n v="15"/>
    <x v="2"/>
    <s v="Yes"/>
    <n v="30"/>
    <s v="Yes"/>
    <x v="0"/>
    <n v="10"/>
    <n v="55"/>
  </r>
  <r>
    <n v="3238"/>
    <s v="André Mendes"/>
    <x v="1"/>
    <d v="2024-03-04T00:00:00"/>
    <x v="0"/>
    <n v="5"/>
    <x v="1"/>
    <s v="No"/>
    <s v="-"/>
    <s v="No"/>
    <x v="1"/>
    <n v="0"/>
    <n v="5"/>
  </r>
  <r>
    <n v="3239"/>
    <s v="Sofia Almeida"/>
    <x v="0"/>
    <d v="2024-03-05T00:00:00"/>
    <x v="1"/>
    <n v="15"/>
    <x v="0"/>
    <s v="Yes"/>
    <n v="30"/>
    <s v="Yes"/>
    <x v="0"/>
    <n v="5"/>
    <n v="60"/>
  </r>
  <r>
    <n v="3240"/>
    <s v="Bruno Martins"/>
    <x v="2"/>
    <d v="2024-03-06T00:00:00"/>
    <x v="0"/>
    <n v="10"/>
    <x v="2"/>
    <s v="No"/>
    <s v="-"/>
    <s v="Yes"/>
    <x v="0"/>
    <n v="15"/>
    <n v="15"/>
  </r>
  <r>
    <n v="3241"/>
    <s v="Rita Castro"/>
    <x v="1"/>
    <d v="2024-03-07T00:00:00"/>
    <x v="1"/>
    <n v="5"/>
    <x v="0"/>
    <s v="No"/>
    <s v="-"/>
    <s v="No"/>
    <x v="1"/>
    <n v="1"/>
    <n v="4"/>
  </r>
  <r>
    <n v="3242"/>
    <s v="Marco Túlio"/>
    <x v="0"/>
    <d v="2024-03-08T00:00:00"/>
    <x v="0"/>
    <n v="15"/>
    <x v="1"/>
    <s v="Yes"/>
    <n v="30"/>
    <s v="Yes"/>
    <x v="0"/>
    <n v="20"/>
    <n v="45"/>
  </r>
  <r>
    <n v="3243"/>
    <s v="Lívia Silveira"/>
    <x v="2"/>
    <d v="2024-03-09T00:00:00"/>
    <x v="1"/>
    <n v="10"/>
    <x v="0"/>
    <s v="No"/>
    <s v="-"/>
    <s v="Yes"/>
    <x v="0"/>
    <n v="10"/>
    <n v="20"/>
  </r>
  <r>
    <n v="3244"/>
    <s v="Diogo Sousa"/>
    <x v="1"/>
    <d v="2024-03-10T00:00:00"/>
    <x v="0"/>
    <n v="5"/>
    <x v="2"/>
    <s v="No"/>
    <s v="-"/>
    <s v="No"/>
    <x v="1"/>
    <n v="0"/>
    <n v="5"/>
  </r>
  <r>
    <n v="3245"/>
    <s v="Fernanda Lima"/>
    <x v="0"/>
    <d v="2024-03-11T00:00:00"/>
    <x v="1"/>
    <n v="15"/>
    <x v="0"/>
    <s v="Yes"/>
    <n v="30"/>
    <s v="Yes"/>
    <x v="0"/>
    <n v="8"/>
    <n v="57"/>
  </r>
  <r>
    <n v="3246"/>
    <s v="Caio Pereira"/>
    <x v="2"/>
    <d v="2024-03-12T00:00:00"/>
    <x v="0"/>
    <n v="10"/>
    <x v="1"/>
    <s v="No"/>
    <s v="-"/>
    <s v="Yes"/>
    <x v="0"/>
    <n v="12"/>
    <n v="18"/>
  </r>
  <r>
    <n v="3247"/>
    <s v="Beatriz Gomes"/>
    <x v="1"/>
    <d v="2024-03-13T00:00:00"/>
    <x v="1"/>
    <n v="5"/>
    <x v="0"/>
    <s v="No"/>
    <s v="-"/>
    <s v="No"/>
    <x v="1"/>
    <n v="2"/>
    <n v="3"/>
  </r>
  <r>
    <n v="3248"/>
    <s v="Cesar Oliveira"/>
    <x v="0"/>
    <d v="2024-03-14T00:00:00"/>
    <x v="0"/>
    <n v="15"/>
    <x v="2"/>
    <s v="Yes"/>
    <n v="30"/>
    <s v="Yes"/>
    <x v="0"/>
    <n v="7"/>
    <n v="58"/>
  </r>
  <r>
    <n v="3249"/>
    <s v="Débora Machado"/>
    <x v="2"/>
    <d v="2024-03-15T00:00:00"/>
    <x v="1"/>
    <n v="10"/>
    <x v="0"/>
    <s v="No"/>
    <s v="-"/>
    <s v="Yes"/>
    <x v="0"/>
    <n v="5"/>
    <n v="25"/>
  </r>
  <r>
    <n v="3250"/>
    <s v="Eduardo Vargas"/>
    <x v="1"/>
    <d v="2024-03-16T00:00:00"/>
    <x v="0"/>
    <n v="5"/>
    <x v="1"/>
    <s v="No"/>
    <s v="-"/>
    <s v="No"/>
    <x v="1"/>
    <n v="0"/>
    <n v="5"/>
  </r>
  <r>
    <n v="3251"/>
    <s v="Gabriela Santos"/>
    <x v="0"/>
    <d v="2024-03-17T00:00:00"/>
    <x v="1"/>
    <n v="15"/>
    <x v="0"/>
    <s v="Yes"/>
    <n v="30"/>
    <s v="Yes"/>
    <x v="0"/>
    <n v="3"/>
    <n v="62"/>
  </r>
  <r>
    <n v="3252"/>
    <s v="Henrique Dias"/>
    <x v="2"/>
    <d v="2024-03-18T00:00:00"/>
    <x v="0"/>
    <n v="10"/>
    <x v="2"/>
    <s v="No"/>
    <s v="-"/>
    <s v="Yes"/>
    <x v="0"/>
    <n v="15"/>
    <n v="15"/>
  </r>
  <r>
    <n v="3253"/>
    <s v="Isabela Moreira"/>
    <x v="1"/>
    <d v="2024-03-19T00:00:00"/>
    <x v="1"/>
    <n v="5"/>
    <x v="0"/>
    <s v="No"/>
    <s v="-"/>
    <s v="No"/>
    <x v="1"/>
    <n v="1"/>
    <n v="4"/>
  </r>
  <r>
    <n v="3254"/>
    <s v="Joaquim Barbosa"/>
    <x v="0"/>
    <d v="2024-03-20T00:00:00"/>
    <x v="0"/>
    <n v="15"/>
    <x v="1"/>
    <s v="Yes"/>
    <n v="30"/>
    <s v="Yes"/>
    <x v="0"/>
    <n v="20"/>
    <n v="45"/>
  </r>
  <r>
    <n v="3255"/>
    <s v="Lara Rocha"/>
    <x v="2"/>
    <d v="2024-03-21T00:00:00"/>
    <x v="1"/>
    <n v="10"/>
    <x v="0"/>
    <s v="No"/>
    <s v="-"/>
    <s v="Yes"/>
    <x v="0"/>
    <n v="10"/>
    <n v="20"/>
  </r>
  <r>
    <n v="3256"/>
    <s v="Matheus Silva"/>
    <x v="1"/>
    <d v="2024-03-22T00:00:00"/>
    <x v="0"/>
    <n v="5"/>
    <x v="2"/>
    <s v="No"/>
    <s v="-"/>
    <s v="No"/>
    <x v="1"/>
    <n v="0"/>
    <n v="5"/>
  </r>
  <r>
    <n v="3257"/>
    <s v="Nicole Costa"/>
    <x v="0"/>
    <d v="2024-03-23T00:00:00"/>
    <x v="1"/>
    <n v="15"/>
    <x v="0"/>
    <s v="Yes"/>
    <n v="30"/>
    <s v="Yes"/>
    <x v="0"/>
    <n v="5"/>
    <n v="60"/>
  </r>
  <r>
    <n v="3258"/>
    <s v="Otávio Mendonça"/>
    <x v="2"/>
    <d v="2024-03-24T00:00:00"/>
    <x v="0"/>
    <n v="10"/>
    <x v="1"/>
    <s v="No"/>
    <s v="-"/>
    <s v="Yes"/>
    <x v="0"/>
    <n v="15"/>
    <n v="15"/>
  </r>
  <r>
    <n v="3259"/>
    <s v="Paula Ferreira"/>
    <x v="1"/>
    <d v="2024-03-25T00:00:00"/>
    <x v="1"/>
    <n v="5"/>
    <x v="0"/>
    <s v="No"/>
    <s v="-"/>
    <s v="No"/>
    <x v="1"/>
    <n v="1"/>
    <n v="4"/>
  </r>
  <r>
    <n v="3260"/>
    <s v="Raquel Alves"/>
    <x v="0"/>
    <d v="2024-03-26T00:00:00"/>
    <x v="0"/>
    <n v="15"/>
    <x v="2"/>
    <s v="Yes"/>
    <n v="30"/>
    <s v="Yes"/>
    <x v="0"/>
    <n v="7"/>
    <n v="58"/>
  </r>
  <r>
    <n v="3261"/>
    <s v="Samuel Pires"/>
    <x v="2"/>
    <d v="2024-03-27T00:00:00"/>
    <x v="1"/>
    <n v="10"/>
    <x v="0"/>
    <s v="No"/>
    <s v="-"/>
    <s v="Yes"/>
    <x v="0"/>
    <n v="10"/>
    <n v="20"/>
  </r>
  <r>
    <n v="3262"/>
    <s v="Tânia Barros"/>
    <x v="1"/>
    <d v="2024-03-28T00:00:00"/>
    <x v="0"/>
    <n v="5"/>
    <x v="1"/>
    <s v="No"/>
    <s v="-"/>
    <s v="No"/>
    <x v="1"/>
    <n v="0"/>
    <n v="5"/>
  </r>
  <r>
    <n v="3263"/>
    <s v="Vinicius Lima"/>
    <x v="0"/>
    <d v="2024-03-29T00:00:00"/>
    <x v="1"/>
    <n v="15"/>
    <x v="0"/>
    <s v="Yes"/>
    <n v="30"/>
    <s v="Yes"/>
    <x v="0"/>
    <n v="3"/>
    <n v="62"/>
  </r>
  <r>
    <n v="3264"/>
    <s v="Yasmin Teixeira"/>
    <x v="2"/>
    <d v="2024-03-30T00:00:00"/>
    <x v="0"/>
    <n v="10"/>
    <x v="2"/>
    <s v="No"/>
    <s v="-"/>
    <s v="Yes"/>
    <x v="0"/>
    <n v="15"/>
    <n v="15"/>
  </r>
  <r>
    <n v="3265"/>
    <s v="Zé Carlos"/>
    <x v="1"/>
    <d v="2024-03-31T00:00:00"/>
    <x v="1"/>
    <n v="5"/>
    <x v="0"/>
    <s v="No"/>
    <s v="-"/>
    <s v="No"/>
    <x v="1"/>
    <n v="1"/>
    <n v="4"/>
  </r>
  <r>
    <n v="3266"/>
    <s v="Amanda Nogueira"/>
    <x v="1"/>
    <d v="2024-04-01T00:00:00"/>
    <x v="0"/>
    <n v="5"/>
    <x v="0"/>
    <s v="No"/>
    <s v="-"/>
    <s v="No"/>
    <x v="1"/>
    <n v="0"/>
    <n v="5"/>
  </r>
  <r>
    <n v="3267"/>
    <s v="Bruno Cavalheiro"/>
    <x v="0"/>
    <d v="2024-04-02T00:00:00"/>
    <x v="1"/>
    <n v="15"/>
    <x v="2"/>
    <s v="Yes"/>
    <n v="30"/>
    <s v="Yes"/>
    <x v="0"/>
    <n v="7"/>
    <n v="58"/>
  </r>
  <r>
    <n v="3268"/>
    <s v="Carla Dias"/>
    <x v="2"/>
    <d v="2024-04-03T00:00:00"/>
    <x v="0"/>
    <n v="10"/>
    <x v="1"/>
    <s v="No"/>
    <s v="-"/>
    <s v="Yes"/>
    <x v="0"/>
    <n v="10"/>
    <n v="20"/>
  </r>
  <r>
    <n v="3269"/>
    <s v="Diego Fontes"/>
    <x v="1"/>
    <d v="2024-04-04T00:00:00"/>
    <x v="1"/>
    <n v="5"/>
    <x v="2"/>
    <s v="No"/>
    <s v="-"/>
    <s v="No"/>
    <x v="1"/>
    <n v="1"/>
    <n v="4"/>
  </r>
  <r>
    <n v="3270"/>
    <s v="Eunice Lima"/>
    <x v="0"/>
    <d v="2024-04-05T00:00:00"/>
    <x v="0"/>
    <n v="15"/>
    <x v="0"/>
    <s v="Yes"/>
    <n v="30"/>
    <s v="Yes"/>
    <x v="0"/>
    <n v="15"/>
    <n v="50"/>
  </r>
  <r>
    <n v="3271"/>
    <s v="Fábio Martins"/>
    <x v="2"/>
    <d v="2024-04-06T00:00:00"/>
    <x v="1"/>
    <n v="10"/>
    <x v="0"/>
    <s v="No"/>
    <s v="-"/>
    <s v="Yes"/>
    <x v="0"/>
    <n v="5"/>
    <n v="25"/>
  </r>
  <r>
    <n v="3272"/>
    <s v="Gisele Araújo"/>
    <x v="1"/>
    <d v="2024-04-07T00:00:00"/>
    <x v="0"/>
    <n v="5"/>
    <x v="1"/>
    <s v="No"/>
    <s v="-"/>
    <s v="No"/>
    <x v="1"/>
    <n v="0"/>
    <n v="5"/>
  </r>
  <r>
    <n v="3273"/>
    <s v="Hélio Castro"/>
    <x v="0"/>
    <d v="2024-04-08T00:00:00"/>
    <x v="1"/>
    <n v="15"/>
    <x v="2"/>
    <s v="Yes"/>
    <n v="30"/>
    <s v="Yes"/>
    <x v="0"/>
    <n v="20"/>
    <n v="45"/>
  </r>
  <r>
    <n v="3274"/>
    <s v="Ingrid Menezes"/>
    <x v="2"/>
    <d v="2024-04-09T00:00:00"/>
    <x v="0"/>
    <n v="10"/>
    <x v="2"/>
    <s v="No"/>
    <s v="-"/>
    <s v="Yes"/>
    <x v="0"/>
    <n v="12"/>
    <n v="18"/>
  </r>
  <r>
    <n v="3275"/>
    <s v="Jorge Baptista"/>
    <x v="1"/>
    <d v="2024-04-10T00:00:00"/>
    <x v="1"/>
    <n v="5"/>
    <x v="0"/>
    <s v="No"/>
    <s v="-"/>
    <s v="No"/>
    <x v="1"/>
    <n v="2"/>
    <n v="3"/>
  </r>
  <r>
    <n v="3276"/>
    <s v="Kléber Oliveira"/>
    <x v="0"/>
    <d v="2024-04-11T00:00:00"/>
    <x v="0"/>
    <n v="15"/>
    <x v="1"/>
    <s v="Yes"/>
    <n v="30"/>
    <s v="Yes"/>
    <x v="0"/>
    <n v="5"/>
    <n v="60"/>
  </r>
  <r>
    <n v="3277"/>
    <s v="Luciana Freitas"/>
    <x v="2"/>
    <d v="2024-04-12T00:00:00"/>
    <x v="1"/>
    <n v="10"/>
    <x v="0"/>
    <s v="No"/>
    <s v="-"/>
    <s v="Yes"/>
    <x v="0"/>
    <n v="10"/>
    <n v="20"/>
  </r>
  <r>
    <n v="3278"/>
    <s v="Márcia Eller"/>
    <x v="1"/>
    <d v="2024-04-13T00:00:00"/>
    <x v="0"/>
    <n v="5"/>
    <x v="2"/>
    <s v="No"/>
    <s v="-"/>
    <s v="No"/>
    <x v="1"/>
    <n v="0"/>
    <n v="5"/>
  </r>
  <r>
    <n v="3279"/>
    <s v="Nilo Peçanha"/>
    <x v="0"/>
    <d v="2024-04-14T00:00:00"/>
    <x v="1"/>
    <n v="15"/>
    <x v="0"/>
    <s v="Yes"/>
    <n v="30"/>
    <s v="Yes"/>
    <x v="0"/>
    <n v="3"/>
    <n v="62"/>
  </r>
  <r>
    <n v="3280"/>
    <s v="Oscar Neves"/>
    <x v="2"/>
    <d v="2024-04-15T00:00:00"/>
    <x v="0"/>
    <n v="10"/>
    <x v="1"/>
    <s v="No"/>
    <s v="-"/>
    <s v="Yes"/>
    <x v="0"/>
    <n v="15"/>
    <n v="15"/>
  </r>
  <r>
    <n v="3281"/>
    <s v="Patrícia Soares"/>
    <x v="1"/>
    <d v="2024-04-16T00:00:00"/>
    <x v="1"/>
    <n v="5"/>
    <x v="0"/>
    <s v="No"/>
    <s v="-"/>
    <s v="No"/>
    <x v="1"/>
    <n v="1"/>
    <n v="4"/>
  </r>
  <r>
    <n v="3282"/>
    <s v="Quirino Gonçalves"/>
    <x v="0"/>
    <d v="2024-04-17T00:00:00"/>
    <x v="0"/>
    <n v="15"/>
    <x v="2"/>
    <s v="Yes"/>
    <n v="30"/>
    <s v="Yes"/>
    <x v="0"/>
    <n v="7"/>
    <n v="58"/>
  </r>
  <r>
    <n v="3283"/>
    <s v="Raul Machado"/>
    <x v="2"/>
    <d v="2024-04-18T00:00:00"/>
    <x v="1"/>
    <n v="10"/>
    <x v="0"/>
    <s v="No"/>
    <s v="-"/>
    <s v="Yes"/>
    <x v="0"/>
    <n v="10"/>
    <n v="20"/>
  </r>
  <r>
    <n v="3284"/>
    <s v="Sônia Lobo"/>
    <x v="1"/>
    <d v="2024-04-19T00:00:00"/>
    <x v="0"/>
    <n v="5"/>
    <x v="1"/>
    <s v="No"/>
    <s v="-"/>
    <s v="No"/>
    <x v="1"/>
    <n v="0"/>
    <n v="5"/>
  </r>
  <r>
    <n v="3285"/>
    <s v="Tiago Ramos"/>
    <x v="0"/>
    <d v="2024-04-20T00:00:00"/>
    <x v="1"/>
    <n v="15"/>
    <x v="0"/>
    <s v="Yes"/>
    <n v="30"/>
    <s v="Yes"/>
    <x v="0"/>
    <n v="20"/>
    <n v="45"/>
  </r>
  <r>
    <n v="3286"/>
    <s v="Ugo Pires"/>
    <x v="2"/>
    <d v="2024-04-21T00:00:00"/>
    <x v="0"/>
    <n v="10"/>
    <x v="2"/>
    <s v="No"/>
    <s v="-"/>
    <s v="Yes"/>
    <x v="0"/>
    <n v="15"/>
    <n v="15"/>
  </r>
  <r>
    <n v="3287"/>
    <s v="Valéria Nobre"/>
    <x v="1"/>
    <d v="2024-04-22T00:00:00"/>
    <x v="1"/>
    <n v="5"/>
    <x v="0"/>
    <s v="No"/>
    <s v="-"/>
    <s v="No"/>
    <x v="1"/>
    <n v="1"/>
    <n v="4"/>
  </r>
  <r>
    <n v="3288"/>
    <s v="William Siqueira"/>
    <x v="0"/>
    <d v="2024-04-23T00:00:00"/>
    <x v="0"/>
    <n v="15"/>
    <x v="1"/>
    <s v="Yes"/>
    <n v="30"/>
    <s v="Yes"/>
    <x v="0"/>
    <n v="3"/>
    <n v="62"/>
  </r>
  <r>
    <n v="3289"/>
    <s v="Xuxa Meneghel"/>
    <x v="2"/>
    <d v="2024-04-24T00:00:00"/>
    <x v="1"/>
    <n v="10"/>
    <x v="0"/>
    <s v="No"/>
    <s v="-"/>
    <s v="Yes"/>
    <x v="0"/>
    <n v="10"/>
    <n v="20"/>
  </r>
  <r>
    <n v="3290"/>
    <s v="Yara Figueiredo"/>
    <x v="1"/>
    <d v="2024-04-25T00:00:00"/>
    <x v="0"/>
    <n v="5"/>
    <x v="2"/>
    <s v="No"/>
    <s v="-"/>
    <s v="No"/>
    <x v="1"/>
    <n v="0"/>
    <n v="5"/>
  </r>
  <r>
    <n v="3291"/>
    <s v="Zacarias Alves"/>
    <x v="0"/>
    <d v="2024-04-26T00:00:00"/>
    <x v="1"/>
    <n v="15"/>
    <x v="0"/>
    <s v="Yes"/>
    <n v="30"/>
    <s v="Yes"/>
    <x v="0"/>
    <n v="5"/>
    <n v="60"/>
  </r>
  <r>
    <n v="3292"/>
    <s v="Amanda Bynes"/>
    <x v="2"/>
    <d v="2024-04-27T00:00:00"/>
    <x v="0"/>
    <n v="10"/>
    <x v="1"/>
    <s v="No"/>
    <s v="-"/>
    <s v="Yes"/>
    <x v="0"/>
    <n v="15"/>
    <n v="15"/>
  </r>
  <r>
    <n v="3293"/>
    <s v="Bruno Mars"/>
    <x v="1"/>
    <d v="2024-04-28T00:00:00"/>
    <x v="1"/>
    <n v="5"/>
    <x v="0"/>
    <s v="No"/>
    <s v="-"/>
    <s v="No"/>
    <x v="1"/>
    <n v="1"/>
    <n v="4"/>
  </r>
  <r>
    <n v="3294"/>
    <s v="Carla Bruni"/>
    <x v="0"/>
    <d v="2024-04-29T00:00:00"/>
    <x v="0"/>
    <n v="15"/>
    <x v="2"/>
    <s v="Yes"/>
    <n v="30"/>
    <s v="Yes"/>
    <x v="0"/>
    <n v="20"/>
    <n v="45"/>
  </r>
  <r>
    <n v="3295"/>
    <s v="Diego Maradona"/>
    <x v="2"/>
    <d v="2024-04-30T00:00:00"/>
    <x v="1"/>
    <n v="10"/>
    <x v="0"/>
    <s v="No"/>
    <s v="-"/>
    <s v="Yes"/>
    <x v="0"/>
    <n v="5"/>
    <n v="25"/>
  </r>
  <r>
    <n v="3296"/>
    <s v="Estela Marques"/>
    <x v="1"/>
    <d v="2024-05-01T00:00:00"/>
    <x v="1"/>
    <n v="5"/>
    <x v="0"/>
    <s v="No"/>
    <s v="-"/>
    <s v="No"/>
    <x v="1"/>
    <n v="0"/>
    <n v="5"/>
  </r>
  <r>
    <n v="3297"/>
    <s v="Fábio Nobre"/>
    <x v="0"/>
    <d v="2024-05-02T00:00:00"/>
    <x v="0"/>
    <n v="15"/>
    <x v="2"/>
    <s v="Yes"/>
    <n v="30"/>
    <s v="Yes"/>
    <x v="0"/>
    <n v="7"/>
    <n v="58"/>
  </r>
  <r>
    <n v="3298"/>
    <s v="Gabriel Oliveira"/>
    <x v="2"/>
    <d v="2024-05-03T00:00:00"/>
    <x v="1"/>
    <n v="10"/>
    <x v="1"/>
    <s v="No"/>
    <s v="-"/>
    <s v="Yes"/>
    <x v="0"/>
    <n v="10"/>
    <n v="20"/>
  </r>
  <r>
    <n v="3299"/>
    <s v="Helena Santos"/>
    <x v="1"/>
    <d v="2024-05-04T00:00:00"/>
    <x v="0"/>
    <n v="5"/>
    <x v="2"/>
    <s v="No"/>
    <s v="-"/>
    <s v="No"/>
    <x v="1"/>
    <n v="1"/>
    <n v="4"/>
  </r>
  <r>
    <n v="3300"/>
    <s v="Ivan Carvalho"/>
    <x v="0"/>
    <d v="2024-05-05T00:00:00"/>
    <x v="1"/>
    <n v="15"/>
    <x v="0"/>
    <s v="Yes"/>
    <n v="30"/>
    <s v="Yes"/>
    <x v="0"/>
    <n v="15"/>
    <n v="50"/>
  </r>
  <r>
    <n v="3301"/>
    <s v="Júlia Ferreira"/>
    <x v="2"/>
    <d v="2024-05-06T00:00:00"/>
    <x v="0"/>
    <n v="10"/>
    <x v="0"/>
    <s v="No"/>
    <s v="-"/>
    <s v="Yes"/>
    <x v="0"/>
    <n v="5"/>
    <n v="25"/>
  </r>
  <r>
    <n v="3302"/>
    <s v="Karla Alves"/>
    <x v="1"/>
    <d v="2024-05-07T00:00:00"/>
    <x v="1"/>
    <n v="5"/>
    <x v="1"/>
    <s v="No"/>
    <s v="-"/>
    <s v="No"/>
    <x v="1"/>
    <n v="0"/>
    <n v="5"/>
  </r>
  <r>
    <n v="3303"/>
    <s v="Lucas Mendes"/>
    <x v="0"/>
    <d v="2024-05-08T00:00:00"/>
    <x v="0"/>
    <n v="15"/>
    <x v="2"/>
    <s v="Yes"/>
    <n v="30"/>
    <s v="Yes"/>
    <x v="0"/>
    <n v="20"/>
    <n v="45"/>
  </r>
  <r>
    <n v="3304"/>
    <s v="Mônica Gomes"/>
    <x v="2"/>
    <d v="2024-05-09T00:00:00"/>
    <x v="1"/>
    <n v="10"/>
    <x v="2"/>
    <s v="No"/>
    <s v="-"/>
    <s v="Yes"/>
    <x v="0"/>
    <n v="12"/>
    <n v="18"/>
  </r>
  <r>
    <n v="3305"/>
    <s v="Norberto Queiroz"/>
    <x v="1"/>
    <d v="2024-05-10T00:00:00"/>
    <x v="0"/>
    <n v="5"/>
    <x v="0"/>
    <s v="No"/>
    <s v="-"/>
    <s v="No"/>
    <x v="1"/>
    <n v="2"/>
    <n v="3"/>
  </r>
  <r>
    <n v="3306"/>
    <s v="Otávio Barros"/>
    <x v="0"/>
    <d v="2024-05-11T00:00:00"/>
    <x v="1"/>
    <n v="15"/>
    <x v="1"/>
    <s v="Yes"/>
    <n v="30"/>
    <s v="Yes"/>
    <x v="0"/>
    <n v="5"/>
    <n v="60"/>
  </r>
  <r>
    <n v="3307"/>
    <s v="Paula Vieira"/>
    <x v="2"/>
    <d v="2024-05-12T00:00:00"/>
    <x v="0"/>
    <n v="10"/>
    <x v="0"/>
    <s v="No"/>
    <s v="-"/>
    <s v="Yes"/>
    <x v="0"/>
    <n v="10"/>
    <n v="20"/>
  </r>
  <r>
    <n v="3308"/>
    <s v="Quentin Ramos"/>
    <x v="1"/>
    <d v="2024-05-13T00:00:00"/>
    <x v="1"/>
    <n v="5"/>
    <x v="2"/>
    <s v="No"/>
    <s v="-"/>
    <s v="No"/>
    <x v="1"/>
    <n v="0"/>
    <n v="5"/>
  </r>
  <r>
    <n v="3309"/>
    <s v="Raquel Novaes"/>
    <x v="0"/>
    <d v="2024-05-14T00:00:00"/>
    <x v="0"/>
    <n v="15"/>
    <x v="0"/>
    <s v="Yes"/>
    <n v="30"/>
    <s v="Yes"/>
    <x v="0"/>
    <n v="3"/>
    <n v="62"/>
  </r>
  <r>
    <n v="3310"/>
    <s v="Samantha Lopes"/>
    <x v="2"/>
    <d v="2024-05-15T00:00:00"/>
    <x v="1"/>
    <n v="10"/>
    <x v="1"/>
    <s v="No"/>
    <s v="-"/>
    <s v="Yes"/>
    <x v="0"/>
    <n v="15"/>
    <n v="15"/>
  </r>
  <r>
    <n v="3311"/>
    <s v="Tiago Martins"/>
    <x v="1"/>
    <d v="2024-05-16T00:00:00"/>
    <x v="0"/>
    <n v="5"/>
    <x v="0"/>
    <s v="No"/>
    <s v="-"/>
    <s v="No"/>
    <x v="1"/>
    <n v="1"/>
    <n v="4"/>
  </r>
  <r>
    <n v="3312"/>
    <s v="Ulysses Guimarães"/>
    <x v="0"/>
    <d v="2024-05-17T00:00:00"/>
    <x v="1"/>
    <n v="15"/>
    <x v="2"/>
    <s v="Yes"/>
    <n v="30"/>
    <s v="Yes"/>
    <x v="0"/>
    <n v="7"/>
    <n v="58"/>
  </r>
  <r>
    <n v="3313"/>
    <s v="Vanessa Silva"/>
    <x v="2"/>
    <d v="2024-05-18T00:00:00"/>
    <x v="0"/>
    <n v="10"/>
    <x v="0"/>
    <s v="No"/>
    <s v="-"/>
    <s v="Yes"/>
    <x v="0"/>
    <n v="10"/>
    <n v="20"/>
  </r>
  <r>
    <n v="3314"/>
    <s v="William Carneiro"/>
    <x v="1"/>
    <d v="2024-05-19T00:00:00"/>
    <x v="1"/>
    <n v="5"/>
    <x v="1"/>
    <s v="No"/>
    <s v="-"/>
    <s v="No"/>
    <x v="1"/>
    <n v="0"/>
    <n v="5"/>
  </r>
  <r>
    <n v="3315"/>
    <s v="Ximena Rocha"/>
    <x v="0"/>
    <d v="2024-05-20T00:00:00"/>
    <x v="0"/>
    <n v="15"/>
    <x v="0"/>
    <s v="Yes"/>
    <n v="30"/>
    <s v="Yes"/>
    <x v="0"/>
    <n v="20"/>
    <n v="45"/>
  </r>
  <r>
    <n v="3316"/>
    <s v="Yasmin Figueiredo"/>
    <x v="2"/>
    <d v="2024-05-21T00:00:00"/>
    <x v="1"/>
    <n v="10"/>
    <x v="2"/>
    <s v="No"/>
    <s v="-"/>
    <s v="Yes"/>
    <x v="0"/>
    <n v="15"/>
    <n v="15"/>
  </r>
  <r>
    <n v="3317"/>
    <s v="Zara Cunha"/>
    <x v="1"/>
    <d v="2024-05-22T00:00:00"/>
    <x v="0"/>
    <n v="5"/>
    <x v="0"/>
    <s v="No"/>
    <s v="-"/>
    <s v="No"/>
    <x v="1"/>
    <n v="1"/>
    <n v="4"/>
  </r>
  <r>
    <n v="3318"/>
    <s v="Alan Teixeira"/>
    <x v="0"/>
    <d v="2024-05-23T00:00:00"/>
    <x v="1"/>
    <n v="15"/>
    <x v="1"/>
    <s v="Yes"/>
    <n v="30"/>
    <s v="Yes"/>
    <x v="0"/>
    <n v="3"/>
    <n v="62"/>
  </r>
  <r>
    <n v="3319"/>
    <s v="Bárbara Oliveira"/>
    <x v="2"/>
    <d v="2024-05-24T00:00:00"/>
    <x v="0"/>
    <n v="10"/>
    <x v="0"/>
    <s v="No"/>
    <s v="-"/>
    <s v="Yes"/>
    <x v="0"/>
    <n v="10"/>
    <n v="20"/>
  </r>
  <r>
    <n v="3320"/>
    <s v="Carlos Junqueira"/>
    <x v="1"/>
    <d v="2024-05-25T00:00:00"/>
    <x v="1"/>
    <n v="5"/>
    <x v="2"/>
    <s v="No"/>
    <s v="-"/>
    <s v="No"/>
    <x v="1"/>
    <n v="0"/>
    <n v="5"/>
  </r>
  <r>
    <n v="3321"/>
    <s v="Daniela Moura"/>
    <x v="0"/>
    <d v="2024-05-26T00:00:00"/>
    <x v="0"/>
    <n v="15"/>
    <x v="0"/>
    <s v="Yes"/>
    <n v="30"/>
    <s v="Yes"/>
    <x v="0"/>
    <n v="5"/>
    <n v="60"/>
  </r>
  <r>
    <n v="3322"/>
    <s v="Eduardo Lima"/>
    <x v="2"/>
    <d v="2024-05-27T00:00:00"/>
    <x v="1"/>
    <n v="10"/>
    <x v="1"/>
    <s v="No"/>
    <s v="-"/>
    <s v="Yes"/>
    <x v="0"/>
    <n v="15"/>
    <n v="15"/>
  </r>
  <r>
    <n v="3323"/>
    <s v="Fabiana Araújo"/>
    <x v="1"/>
    <d v="2024-05-28T00:00:00"/>
    <x v="0"/>
    <n v="5"/>
    <x v="0"/>
    <s v="No"/>
    <s v="-"/>
    <s v="No"/>
    <x v="1"/>
    <n v="1"/>
    <n v="4"/>
  </r>
  <r>
    <n v="3324"/>
    <s v="Geraldo Ribeiro"/>
    <x v="0"/>
    <d v="2024-05-29T00:00:00"/>
    <x v="1"/>
    <n v="15"/>
    <x v="2"/>
    <s v="Yes"/>
    <n v="30"/>
    <s v="Yes"/>
    <x v="0"/>
    <n v="20"/>
    <n v="45"/>
  </r>
  <r>
    <n v="3325"/>
    <s v="Héctor Vargas"/>
    <x v="2"/>
    <d v="2024-05-30T00:00:00"/>
    <x v="0"/>
    <n v="10"/>
    <x v="2"/>
    <s v="No"/>
    <s v="-"/>
    <s v="Yes"/>
    <x v="0"/>
    <n v="15"/>
    <n v="15"/>
  </r>
  <r>
    <n v="3326"/>
    <s v="Isabela Fonseca"/>
    <x v="1"/>
    <d v="2024-05-31T00:00:00"/>
    <x v="1"/>
    <n v="5"/>
    <x v="1"/>
    <s v="No"/>
    <s v="-"/>
    <s v="No"/>
    <x v="1"/>
    <n v="0"/>
    <n v="5"/>
  </r>
  <r>
    <n v="3327"/>
    <s v="João Pedro Almeida"/>
    <x v="0"/>
    <d v="2024-06-01T00:00:00"/>
    <x v="0"/>
    <n v="15"/>
    <x v="0"/>
    <s v="Yes"/>
    <n v="30"/>
    <s v="Yes"/>
    <x v="0"/>
    <n v="7"/>
    <n v="58"/>
  </r>
  <r>
    <n v="3328"/>
    <s v="Klara Costa"/>
    <x v="2"/>
    <d v="2024-06-02T00:00:00"/>
    <x v="1"/>
    <n v="10"/>
    <x v="1"/>
    <s v="No"/>
    <s v="-"/>
    <s v="Yes"/>
    <x v="0"/>
    <n v="10"/>
    <n v="20"/>
  </r>
  <r>
    <n v="3329"/>
    <s v="Luciana Mendes"/>
    <x v="1"/>
    <d v="2024-06-03T00:00:00"/>
    <x v="0"/>
    <n v="5"/>
    <x v="2"/>
    <s v="No"/>
    <s v="-"/>
    <s v="No"/>
    <x v="1"/>
    <n v="1"/>
    <n v="4"/>
  </r>
  <r>
    <n v="3330"/>
    <s v="Marcelo Gouveia"/>
    <x v="0"/>
    <d v="2024-06-04T00:00:00"/>
    <x v="1"/>
    <n v="15"/>
    <x v="0"/>
    <s v="Yes"/>
    <n v="30"/>
    <s v="Yes"/>
    <x v="0"/>
    <n v="15"/>
    <n v="50"/>
  </r>
  <r>
    <n v="3331"/>
    <s v="Nívea Borges"/>
    <x v="2"/>
    <d v="2024-06-05T00:00:00"/>
    <x v="0"/>
    <n v="10"/>
    <x v="0"/>
    <s v="No"/>
    <s v="-"/>
    <s v="Yes"/>
    <x v="0"/>
    <n v="5"/>
    <n v="25"/>
  </r>
  <r>
    <n v="3332"/>
    <s v="Oscar Nogueira"/>
    <x v="1"/>
    <d v="2024-06-06T00:00:00"/>
    <x v="1"/>
    <n v="5"/>
    <x v="1"/>
    <s v="No"/>
    <s v="-"/>
    <s v="No"/>
    <x v="1"/>
    <n v="0"/>
    <n v="5"/>
  </r>
  <r>
    <n v="3333"/>
    <s v="Patrícia Alves"/>
    <x v="0"/>
    <d v="2024-06-07T00:00:00"/>
    <x v="0"/>
    <n v="15"/>
    <x v="2"/>
    <s v="Yes"/>
    <n v="30"/>
    <s v="Yes"/>
    <x v="0"/>
    <n v="20"/>
    <n v="45"/>
  </r>
  <r>
    <n v="3334"/>
    <s v="Rafaela Silva"/>
    <x v="2"/>
    <d v="2024-06-08T00:00:00"/>
    <x v="1"/>
    <n v="10"/>
    <x v="2"/>
    <s v="No"/>
    <s v="-"/>
    <s v="Yes"/>
    <x v="0"/>
    <n v="12"/>
    <n v="18"/>
  </r>
  <r>
    <n v="3335"/>
    <s v="Samantha Moraes"/>
    <x v="1"/>
    <d v="2024-06-09T00:00:00"/>
    <x v="0"/>
    <n v="5"/>
    <x v="0"/>
    <s v="No"/>
    <s v="-"/>
    <s v="No"/>
    <x v="1"/>
    <n v="2"/>
    <n v="3"/>
  </r>
  <r>
    <n v="3336"/>
    <s v="Tatiana Rocha"/>
    <x v="1"/>
    <d v="2024-06-10T00:00:00"/>
    <x v="0"/>
    <n v="5"/>
    <x v="0"/>
    <s v="No"/>
    <s v="-"/>
    <s v="No"/>
    <x v="1"/>
    <n v="0"/>
    <n v="5"/>
  </r>
  <r>
    <n v="3337"/>
    <s v="Ulisses Tavares"/>
    <x v="0"/>
    <d v="2024-06-11T00:00:00"/>
    <x v="1"/>
    <n v="15"/>
    <x v="2"/>
    <s v="Yes"/>
    <n v="30"/>
    <s v="Yes"/>
    <x v="0"/>
    <n v="7"/>
    <n v="58"/>
  </r>
  <r>
    <n v="3338"/>
    <s v="Víctor Lemos"/>
    <x v="2"/>
    <d v="2024-06-12T00:00:00"/>
    <x v="0"/>
    <n v="10"/>
    <x v="1"/>
    <s v="No"/>
    <s v="-"/>
    <s v="Yes"/>
    <x v="0"/>
    <n v="10"/>
    <n v="20"/>
  </r>
  <r>
    <n v="3339"/>
    <s v="Wilma Barros"/>
    <x v="1"/>
    <d v="2024-06-13T00:00:00"/>
    <x v="1"/>
    <n v="5"/>
    <x v="2"/>
    <s v="No"/>
    <s v="-"/>
    <s v="No"/>
    <x v="1"/>
    <n v="1"/>
    <n v="4"/>
  </r>
  <r>
    <n v="3340"/>
    <s v="Xavier Nascimento"/>
    <x v="0"/>
    <d v="2024-06-14T00:00:00"/>
    <x v="0"/>
    <n v="15"/>
    <x v="0"/>
    <s v="Yes"/>
    <n v="30"/>
    <s v="Yes"/>
    <x v="0"/>
    <n v="15"/>
    <n v="50"/>
  </r>
  <r>
    <n v="3341"/>
    <s v="Yago Pereira"/>
    <x v="2"/>
    <d v="2024-06-15T00:00:00"/>
    <x v="1"/>
    <n v="10"/>
    <x v="0"/>
    <s v="No"/>
    <s v="-"/>
    <s v="Yes"/>
    <x v="0"/>
    <n v="5"/>
    <n v="25"/>
  </r>
  <r>
    <n v="3342"/>
    <s v="Zilda Ferreira"/>
    <x v="1"/>
    <d v="2024-06-16T00:00:00"/>
    <x v="0"/>
    <n v="5"/>
    <x v="1"/>
    <s v="No"/>
    <s v="-"/>
    <s v="No"/>
    <x v="1"/>
    <n v="0"/>
    <n v="5"/>
  </r>
  <r>
    <n v="3343"/>
    <s v="Amanda Lopes"/>
    <x v="0"/>
    <d v="2024-06-17T00:00:00"/>
    <x v="1"/>
    <n v="15"/>
    <x v="2"/>
    <s v="Yes"/>
    <n v="30"/>
    <s v="Yes"/>
    <x v="0"/>
    <n v="20"/>
    <n v="45"/>
  </r>
  <r>
    <n v="3344"/>
    <s v="Bruno Miranda"/>
    <x v="2"/>
    <d v="2024-06-18T00:00:00"/>
    <x v="0"/>
    <n v="10"/>
    <x v="2"/>
    <s v="No"/>
    <s v="-"/>
    <s v="Yes"/>
    <x v="0"/>
    <n v="12"/>
    <n v="18"/>
  </r>
  <r>
    <n v="3345"/>
    <s v="Célia Torres"/>
    <x v="1"/>
    <d v="2024-06-19T00:00:00"/>
    <x v="1"/>
    <n v="5"/>
    <x v="0"/>
    <s v="No"/>
    <s v="-"/>
    <s v="No"/>
    <x v="1"/>
    <n v="2"/>
    <n v="3"/>
  </r>
  <r>
    <n v="3346"/>
    <s v="Diogo Souza"/>
    <x v="0"/>
    <d v="2024-06-20T00:00:00"/>
    <x v="0"/>
    <n v="15"/>
    <x v="1"/>
    <s v="Yes"/>
    <n v="30"/>
    <s v="Yes"/>
    <x v="0"/>
    <n v="5"/>
    <n v="60"/>
  </r>
  <r>
    <n v="3347"/>
    <s v="Elisa Castro"/>
    <x v="2"/>
    <d v="2024-06-21T00:00:00"/>
    <x v="1"/>
    <n v="10"/>
    <x v="0"/>
    <s v="No"/>
    <s v="-"/>
    <s v="Yes"/>
    <x v="0"/>
    <n v="10"/>
    <n v="20"/>
  </r>
  <r>
    <n v="3348"/>
    <s v="Fátima Lima"/>
    <x v="1"/>
    <d v="2024-06-22T00:00:00"/>
    <x v="0"/>
    <n v="5"/>
    <x v="2"/>
    <s v="No"/>
    <s v="-"/>
    <s v="No"/>
    <x v="1"/>
    <n v="0"/>
    <n v="5"/>
  </r>
  <r>
    <n v="3349"/>
    <s v="Geraldo Ribeiro"/>
    <x v="0"/>
    <d v="2024-06-23T00:00:00"/>
    <x v="1"/>
    <n v="15"/>
    <x v="0"/>
    <s v="Yes"/>
    <n v="30"/>
    <s v="Yes"/>
    <x v="0"/>
    <n v="3"/>
    <n v="62"/>
  </r>
  <r>
    <n v="3350"/>
    <s v="Hélio Martins"/>
    <x v="2"/>
    <d v="2024-06-24T00:00:00"/>
    <x v="0"/>
    <n v="10"/>
    <x v="1"/>
    <s v="No"/>
    <s v="-"/>
    <s v="Yes"/>
    <x v="0"/>
    <n v="15"/>
    <n v="15"/>
  </r>
  <r>
    <n v="3351"/>
    <s v="Íris Santos"/>
    <x v="1"/>
    <d v="2024-06-25T00:00:00"/>
    <x v="1"/>
    <n v="5"/>
    <x v="0"/>
    <s v="No"/>
    <s v="-"/>
    <s v="No"/>
    <x v="1"/>
    <n v="1"/>
    <n v="4"/>
  </r>
  <r>
    <n v="3352"/>
    <s v="João Marcelo"/>
    <x v="0"/>
    <d v="2024-06-26T00:00:00"/>
    <x v="0"/>
    <n v="15"/>
    <x v="2"/>
    <s v="Yes"/>
    <n v="30"/>
    <s v="Yes"/>
    <x v="0"/>
    <n v="7"/>
    <n v="58"/>
  </r>
  <r>
    <n v="3353"/>
    <s v="Larissa Gomes"/>
    <x v="2"/>
    <d v="2024-06-27T00:00:00"/>
    <x v="1"/>
    <n v="10"/>
    <x v="0"/>
    <s v="No"/>
    <s v="-"/>
    <s v="Yes"/>
    <x v="0"/>
    <n v="10"/>
    <n v="20"/>
  </r>
  <r>
    <n v="3354"/>
    <s v="Márcio Silva"/>
    <x v="1"/>
    <d v="2024-06-28T00:00:00"/>
    <x v="0"/>
    <n v="5"/>
    <x v="1"/>
    <s v="No"/>
    <s v="-"/>
    <s v="No"/>
    <x v="1"/>
    <n v="0"/>
    <n v="5"/>
  </r>
  <r>
    <n v="3355"/>
    <s v="Nadia Costa"/>
    <x v="0"/>
    <d v="2024-06-29T00:00:00"/>
    <x v="1"/>
    <n v="15"/>
    <x v="0"/>
    <s v="Yes"/>
    <n v="30"/>
    <s v="Yes"/>
    <x v="0"/>
    <n v="20"/>
    <n v="45"/>
  </r>
  <r>
    <n v="3356"/>
    <s v="Oscar Almeida"/>
    <x v="2"/>
    <d v="2024-06-30T00:00:00"/>
    <x v="0"/>
    <n v="10"/>
    <x v="2"/>
    <s v="No"/>
    <s v="-"/>
    <s v="Yes"/>
    <x v="0"/>
    <n v="15"/>
    <n v="15"/>
  </r>
  <r>
    <n v="3357"/>
    <s v="Patricia Soares"/>
    <x v="1"/>
    <d v="2024-07-01T00:00:00"/>
    <x v="1"/>
    <n v="5"/>
    <x v="0"/>
    <s v="No"/>
    <s v="-"/>
    <s v="No"/>
    <x v="1"/>
    <n v="1"/>
    <n v="4"/>
  </r>
  <r>
    <n v="3358"/>
    <s v="Quênia Barros"/>
    <x v="0"/>
    <d v="2024-07-02T00:00:00"/>
    <x v="0"/>
    <n v="15"/>
    <x v="1"/>
    <s v="Yes"/>
    <n v="30"/>
    <s v="Yes"/>
    <x v="0"/>
    <n v="3"/>
    <n v="62"/>
  </r>
  <r>
    <n v="3359"/>
    <s v="Rafael Torres"/>
    <x v="2"/>
    <d v="2024-07-03T00:00:00"/>
    <x v="1"/>
    <n v="10"/>
    <x v="0"/>
    <s v="No"/>
    <s v="-"/>
    <s v="Yes"/>
    <x v="0"/>
    <n v="10"/>
    <n v="20"/>
  </r>
  <r>
    <n v="3360"/>
    <s v="Silvia Nascimento"/>
    <x v="1"/>
    <d v="2024-07-04T00:00:00"/>
    <x v="0"/>
    <n v="5"/>
    <x v="2"/>
    <s v="No"/>
    <s v="-"/>
    <s v="No"/>
    <x v="1"/>
    <n v="0"/>
    <n v="5"/>
  </r>
  <r>
    <n v="3361"/>
    <s v="Tiago Mendes"/>
    <x v="0"/>
    <d v="2024-07-05T00:00:00"/>
    <x v="1"/>
    <n v="15"/>
    <x v="0"/>
    <s v="Yes"/>
    <n v="30"/>
    <s v="Yes"/>
    <x v="0"/>
    <n v="15"/>
    <n v="50"/>
  </r>
  <r>
    <n v="3362"/>
    <s v="Ursula Silva"/>
    <x v="2"/>
    <d v="2024-07-06T00:00:00"/>
    <x v="0"/>
    <n v="10"/>
    <x v="1"/>
    <s v="No"/>
    <s v="-"/>
    <s v="Yes"/>
    <x v="0"/>
    <n v="15"/>
    <n v="15"/>
  </r>
  <r>
    <n v="3363"/>
    <s v="Vanessa Moraes"/>
    <x v="1"/>
    <d v="2024-07-07T00:00:00"/>
    <x v="1"/>
    <n v="5"/>
    <x v="0"/>
    <s v="No"/>
    <s v="-"/>
    <s v="No"/>
    <x v="1"/>
    <n v="1"/>
    <n v="4"/>
  </r>
  <r>
    <n v="3364"/>
    <s v="Waldir Junior"/>
    <x v="0"/>
    <d v="2024-07-08T00:00:00"/>
    <x v="0"/>
    <n v="15"/>
    <x v="2"/>
    <s v="Yes"/>
    <n v="30"/>
    <s v="Yes"/>
    <x v="0"/>
    <n v="7"/>
    <n v="58"/>
  </r>
  <r>
    <n v="3365"/>
    <s v="Xavier Lopes"/>
    <x v="2"/>
    <d v="2024-07-09T00:00:00"/>
    <x v="1"/>
    <n v="10"/>
    <x v="0"/>
    <s v="No"/>
    <s v="-"/>
    <s v="Yes"/>
    <x v="0"/>
    <n v="10"/>
    <n v="20"/>
  </r>
  <r>
    <n v="3366"/>
    <s v="Yolanda Freitas"/>
    <x v="1"/>
    <d v="2024-07-10T00:00:00"/>
    <x v="0"/>
    <n v="5"/>
    <x v="0"/>
    <s v="No"/>
    <s v="-"/>
    <s v="No"/>
    <x v="1"/>
    <n v="0"/>
    <n v="5"/>
  </r>
  <r>
    <n v="3367"/>
    <s v="Zacarias Nunes"/>
    <x v="0"/>
    <d v="2024-07-11T00:00:00"/>
    <x v="1"/>
    <n v="15"/>
    <x v="2"/>
    <s v="Yes"/>
    <n v="30"/>
    <s v="Yes"/>
    <x v="0"/>
    <n v="7"/>
    <n v="58"/>
  </r>
  <r>
    <n v="3368"/>
    <s v="Ana Clara Barreto"/>
    <x v="2"/>
    <d v="2024-07-12T00:00:00"/>
    <x v="0"/>
    <n v="10"/>
    <x v="1"/>
    <s v="No"/>
    <s v="-"/>
    <s v="Yes"/>
    <x v="0"/>
    <n v="10"/>
    <n v="20"/>
  </r>
  <r>
    <n v="3369"/>
    <s v="Bruno Henrique"/>
    <x v="1"/>
    <d v="2024-07-13T00:00:00"/>
    <x v="1"/>
    <n v="5"/>
    <x v="2"/>
    <s v="No"/>
    <s v="-"/>
    <s v="No"/>
    <x v="1"/>
    <n v="1"/>
    <n v="4"/>
  </r>
  <r>
    <n v="3370"/>
    <s v="Carlos Eduardo"/>
    <x v="0"/>
    <d v="2024-07-14T00:00:00"/>
    <x v="0"/>
    <n v="15"/>
    <x v="0"/>
    <s v="Yes"/>
    <n v="30"/>
    <s v="Yes"/>
    <x v="0"/>
    <n v="15"/>
    <n v="50"/>
  </r>
  <r>
    <n v="3371"/>
    <s v="Débora Lima"/>
    <x v="2"/>
    <d v="2024-07-15T00:00:00"/>
    <x v="1"/>
    <n v="10"/>
    <x v="0"/>
    <s v="No"/>
    <s v="-"/>
    <s v="Yes"/>
    <x v="0"/>
    <n v="5"/>
    <n v="25"/>
  </r>
  <r>
    <n v="3372"/>
    <s v="Elisa Neves"/>
    <x v="1"/>
    <d v="2024-07-16T00:00:00"/>
    <x v="0"/>
    <n v="5"/>
    <x v="1"/>
    <s v="No"/>
    <s v="-"/>
    <s v="No"/>
    <x v="1"/>
    <n v="0"/>
    <n v="5"/>
  </r>
  <r>
    <n v="3373"/>
    <s v="Fabiano Gomes"/>
    <x v="0"/>
    <d v="2024-07-17T00:00:00"/>
    <x v="1"/>
    <n v="15"/>
    <x v="2"/>
    <s v="Yes"/>
    <n v="30"/>
    <s v="Yes"/>
    <x v="0"/>
    <n v="20"/>
    <n v="45"/>
  </r>
  <r>
    <n v="3374"/>
    <s v="Gisele Oliveira"/>
    <x v="2"/>
    <d v="2024-07-18T00:00:00"/>
    <x v="0"/>
    <n v="10"/>
    <x v="2"/>
    <s v="No"/>
    <s v="-"/>
    <s v="Yes"/>
    <x v="0"/>
    <n v="12"/>
    <n v="18"/>
  </r>
  <r>
    <n v="3375"/>
    <s v="Héctor Silva"/>
    <x v="1"/>
    <d v="2024-07-19T00:00:00"/>
    <x v="1"/>
    <n v="5"/>
    <x v="0"/>
    <s v="No"/>
    <s v="-"/>
    <s v="No"/>
    <x v="1"/>
    <n v="2"/>
    <n v="3"/>
  </r>
  <r>
    <n v="3376"/>
    <s v="Igor Martins"/>
    <x v="0"/>
    <d v="2024-07-20T00:00:00"/>
    <x v="0"/>
    <n v="15"/>
    <x v="1"/>
    <s v="Yes"/>
    <n v="30"/>
    <s v="Yes"/>
    <x v="0"/>
    <n v="5"/>
    <n v="60"/>
  </r>
  <r>
    <n v="3377"/>
    <s v="Joana Figueiredo"/>
    <x v="2"/>
    <d v="2024-07-21T00:00:00"/>
    <x v="1"/>
    <n v="10"/>
    <x v="0"/>
    <s v="No"/>
    <s v="-"/>
    <s v="Yes"/>
    <x v="0"/>
    <n v="10"/>
    <n v="20"/>
  </r>
  <r>
    <n v="3378"/>
    <s v="Kleber Machado"/>
    <x v="1"/>
    <d v="2024-07-22T00:00:00"/>
    <x v="0"/>
    <n v="5"/>
    <x v="2"/>
    <s v="No"/>
    <s v="-"/>
    <s v="No"/>
    <x v="1"/>
    <n v="0"/>
    <n v="5"/>
  </r>
  <r>
    <n v="3379"/>
    <s v="Luciana Santos"/>
    <x v="0"/>
    <d v="2024-07-23T00:00:00"/>
    <x v="1"/>
    <n v="15"/>
    <x v="0"/>
    <s v="Yes"/>
    <n v="30"/>
    <s v="Yes"/>
    <x v="0"/>
    <n v="3"/>
    <n v="62"/>
  </r>
  <r>
    <n v="3380"/>
    <s v="Marcos Teixeira"/>
    <x v="2"/>
    <d v="2024-07-24T00:00:00"/>
    <x v="0"/>
    <n v="10"/>
    <x v="1"/>
    <s v="No"/>
    <s v="-"/>
    <s v="Yes"/>
    <x v="0"/>
    <n v="15"/>
    <n v="15"/>
  </r>
  <r>
    <n v="3381"/>
    <s v="Natalia Costa"/>
    <x v="1"/>
    <d v="2024-07-25T00:00:00"/>
    <x v="1"/>
    <n v="5"/>
    <x v="0"/>
    <s v="No"/>
    <s v="-"/>
    <s v="No"/>
    <x v="1"/>
    <n v="1"/>
    <n v="4"/>
  </r>
  <r>
    <n v="3382"/>
    <s v="Oscar Ribeiro"/>
    <x v="0"/>
    <d v="2024-07-26T00:00:00"/>
    <x v="0"/>
    <n v="15"/>
    <x v="2"/>
    <s v="Yes"/>
    <n v="30"/>
    <s v="Yes"/>
    <x v="0"/>
    <n v="7"/>
    <n v="58"/>
  </r>
  <r>
    <n v="3383"/>
    <s v="Patricia Almeida"/>
    <x v="2"/>
    <d v="2024-07-27T00:00:00"/>
    <x v="1"/>
    <n v="10"/>
    <x v="0"/>
    <s v="No"/>
    <s v="-"/>
    <s v="Yes"/>
    <x v="0"/>
    <n v="10"/>
    <n v="20"/>
  </r>
  <r>
    <n v="3384"/>
    <s v="Quirino Junior"/>
    <x v="1"/>
    <d v="2024-07-28T00:00:00"/>
    <x v="0"/>
    <n v="5"/>
    <x v="1"/>
    <s v="No"/>
    <s v="-"/>
    <s v="No"/>
    <x v="1"/>
    <n v="0"/>
    <n v="5"/>
  </r>
  <r>
    <n v="3385"/>
    <s v="Renata Machado"/>
    <x v="0"/>
    <d v="2024-07-29T00:00:00"/>
    <x v="1"/>
    <n v="15"/>
    <x v="0"/>
    <s v="Yes"/>
    <n v="30"/>
    <s v="Yes"/>
    <x v="0"/>
    <n v="20"/>
    <n v="45"/>
  </r>
  <r>
    <n v="3386"/>
    <s v="Sônia Alves"/>
    <x v="2"/>
    <d v="2024-07-30T00:00:00"/>
    <x v="0"/>
    <n v="10"/>
    <x v="2"/>
    <s v="No"/>
    <s v="-"/>
    <s v="Yes"/>
    <x v="0"/>
    <n v="15"/>
    <n v="15"/>
  </r>
  <r>
    <n v="3387"/>
    <s v="Tiago Nunes"/>
    <x v="1"/>
    <d v="2024-07-31T00:00:00"/>
    <x v="1"/>
    <n v="5"/>
    <x v="0"/>
    <s v="No"/>
    <s v="-"/>
    <s v="No"/>
    <x v="1"/>
    <n v="1"/>
    <n v="4"/>
  </r>
  <r>
    <n v="3388"/>
    <s v="Ulysses Pereira"/>
    <x v="0"/>
    <d v="2024-08-01T00:00:00"/>
    <x v="0"/>
    <n v="15"/>
    <x v="1"/>
    <s v="Yes"/>
    <n v="30"/>
    <s v="Yes"/>
    <x v="0"/>
    <n v="3"/>
    <n v="62"/>
  </r>
  <r>
    <n v="3389"/>
    <s v="Vanessa Lima"/>
    <x v="2"/>
    <d v="2024-08-02T00:00:00"/>
    <x v="1"/>
    <n v="10"/>
    <x v="0"/>
    <s v="No"/>
    <s v="-"/>
    <s v="Yes"/>
    <x v="0"/>
    <n v="10"/>
    <n v="20"/>
  </r>
  <r>
    <n v="3390"/>
    <s v="Wagner Santos"/>
    <x v="1"/>
    <d v="2024-08-03T00:00:00"/>
    <x v="0"/>
    <n v="5"/>
    <x v="2"/>
    <s v="No"/>
    <s v="-"/>
    <s v="No"/>
    <x v="1"/>
    <n v="0"/>
    <n v="5"/>
  </r>
  <r>
    <n v="3391"/>
    <s v="Xuxa Meneghel"/>
    <x v="0"/>
    <d v="2024-08-04T00:00:00"/>
    <x v="1"/>
    <n v="15"/>
    <x v="0"/>
    <s v="Yes"/>
    <n v="30"/>
    <s v="Yes"/>
    <x v="0"/>
    <n v="15"/>
    <n v="50"/>
  </r>
  <r>
    <n v="3392"/>
    <s v="Yasmin Silva"/>
    <x v="2"/>
    <d v="2024-08-05T00:00:00"/>
    <x v="0"/>
    <n v="10"/>
    <x v="1"/>
    <s v="No"/>
    <s v="-"/>
    <s v="Yes"/>
    <x v="0"/>
    <n v="15"/>
    <n v="15"/>
  </r>
  <r>
    <n v="3393"/>
    <s v="Zacarias de Souza"/>
    <x v="1"/>
    <d v="2024-08-06T00:00:00"/>
    <x v="1"/>
    <n v="5"/>
    <x v="0"/>
    <s v="No"/>
    <s v="-"/>
    <s v="No"/>
    <x v="1"/>
    <n v="1"/>
    <n v="4"/>
  </r>
  <r>
    <n v="3394"/>
    <s v="André Lima"/>
    <x v="0"/>
    <d v="2024-08-07T00:00:00"/>
    <x v="0"/>
    <n v="15"/>
    <x v="2"/>
    <s v="Yes"/>
    <n v="30"/>
    <s v="Yes"/>
    <x v="0"/>
    <n v="7"/>
    <n v="58"/>
  </r>
  <r>
    <n v="3395"/>
    <s v="Bianca Freitas"/>
    <x v="2"/>
    <d v="2024-08-08T00:00:00"/>
    <x v="1"/>
    <n v="10"/>
    <x v="0"/>
    <s v="No"/>
    <s v="-"/>
    <s v="Yes"/>
    <x v="0"/>
    <n v="10"/>
    <n v="20"/>
  </r>
  <r>
    <n v="3396"/>
    <s v="Caio Mendes"/>
    <x v="1"/>
    <d v="2024-08-09T00:00:00"/>
    <x v="0"/>
    <n v="5"/>
    <x v="1"/>
    <s v="No"/>
    <s v="-"/>
    <s v="No"/>
    <x v="1"/>
    <n v="0"/>
    <n v="5"/>
  </r>
  <r>
    <n v="3397"/>
    <s v="Daniela Moura"/>
    <x v="0"/>
    <d v="2024-08-10T00:00:00"/>
    <x v="1"/>
    <n v="15"/>
    <x v="0"/>
    <s v="Yes"/>
    <n v="30"/>
    <s v="Yes"/>
    <x v="0"/>
    <n v="20"/>
    <n v="45"/>
  </r>
  <r>
    <n v="3398"/>
    <s v="Eduardo Costa"/>
    <x v="2"/>
    <d v="2024-08-11T00:00:00"/>
    <x v="0"/>
    <n v="10"/>
    <x v="2"/>
    <s v="No"/>
    <s v="-"/>
    <s v="Yes"/>
    <x v="0"/>
    <n v="15"/>
    <n v="15"/>
  </r>
  <r>
    <n v="3399"/>
    <s v="Fernanda Gomes"/>
    <x v="1"/>
    <d v="2024-08-12T00:00:00"/>
    <x v="1"/>
    <n v="5"/>
    <x v="0"/>
    <s v="No"/>
    <s v="-"/>
    <s v="No"/>
    <x v="1"/>
    <n v="1"/>
    <n v="4"/>
  </r>
  <r>
    <n v="3400"/>
    <s v="Guilherme Souza"/>
    <x v="0"/>
    <d v="2024-08-13T00:00:00"/>
    <x v="0"/>
    <n v="15"/>
    <x v="1"/>
    <s v="Yes"/>
    <n v="30"/>
    <s v="Yes"/>
    <x v="0"/>
    <n v="5"/>
    <n v="60"/>
  </r>
  <r>
    <n v="3401"/>
    <s v="Helena Ribeiro"/>
    <x v="2"/>
    <d v="2024-08-14T00:00:00"/>
    <x v="1"/>
    <n v="10"/>
    <x v="0"/>
    <s v="No"/>
    <s v="-"/>
    <s v="Yes"/>
    <x v="0"/>
    <n v="10"/>
    <n v="20"/>
  </r>
  <r>
    <n v="3402"/>
    <s v="Igor Santos"/>
    <x v="1"/>
    <d v="2024-08-15T00:00:00"/>
    <x v="0"/>
    <n v="5"/>
    <x v="2"/>
    <s v="No"/>
    <s v="-"/>
    <s v="No"/>
    <x v="1"/>
    <n v="0"/>
    <n v="5"/>
  </r>
  <r>
    <n v="3403"/>
    <s v="João Carvalho"/>
    <x v="0"/>
    <d v="2024-08-16T00:00:00"/>
    <x v="1"/>
    <n v="15"/>
    <x v="0"/>
    <s v="Yes"/>
    <n v="30"/>
    <s v="Yes"/>
    <x v="0"/>
    <n v="3"/>
    <n v="62"/>
  </r>
  <r>
    <n v="3404"/>
    <s v="Klara Fagundes"/>
    <x v="2"/>
    <d v="2024-08-17T00:00:00"/>
    <x v="0"/>
    <n v="10"/>
    <x v="1"/>
    <s v="No"/>
    <s v="-"/>
    <s v="Yes"/>
    <x v="0"/>
    <n v="15"/>
    <n v="15"/>
  </r>
  <r>
    <n v="3405"/>
    <s v="Lúcia Mendonça"/>
    <x v="1"/>
    <d v="2024-08-18T00:00:00"/>
    <x v="1"/>
    <n v="5"/>
    <x v="0"/>
    <s v="No"/>
    <s v="-"/>
    <s v="No"/>
    <x v="1"/>
    <n v="1"/>
    <n v="4"/>
  </r>
  <r>
    <n v="3406"/>
    <s v="Marcelo Novaes"/>
    <x v="1"/>
    <d v="2024-08-19T00:00:00"/>
    <x v="0"/>
    <n v="5"/>
    <x v="0"/>
    <s v="No"/>
    <s v="-"/>
    <s v="No"/>
    <x v="1"/>
    <n v="0"/>
    <n v="5"/>
  </r>
  <r>
    <n v="3407"/>
    <s v="Nina Pacheco"/>
    <x v="0"/>
    <d v="2024-08-20T00:00:00"/>
    <x v="1"/>
    <n v="15"/>
    <x v="2"/>
    <s v="Yes"/>
    <n v="30"/>
    <s v="Yes"/>
    <x v="0"/>
    <n v="7"/>
    <n v="58"/>
  </r>
  <r>
    <n v="3408"/>
    <s v="Olívia Rios"/>
    <x v="2"/>
    <d v="2024-08-21T00:00:00"/>
    <x v="0"/>
    <n v="10"/>
    <x v="1"/>
    <s v="No"/>
    <s v="-"/>
    <s v="Yes"/>
    <x v="0"/>
    <n v="10"/>
    <n v="20"/>
  </r>
  <r>
    <n v="3409"/>
    <s v="Paulo Quintana"/>
    <x v="1"/>
    <d v="2024-08-22T00:00:00"/>
    <x v="1"/>
    <n v="5"/>
    <x v="2"/>
    <s v="No"/>
    <s v="-"/>
    <s v="No"/>
    <x v="1"/>
    <n v="1"/>
    <n v="4"/>
  </r>
  <r>
    <n v="3410"/>
    <s v="Raquel Domingos"/>
    <x v="0"/>
    <d v="2024-08-23T00:00:00"/>
    <x v="0"/>
    <n v="15"/>
    <x v="0"/>
    <s v="Yes"/>
    <n v="30"/>
    <s v="Yes"/>
    <x v="0"/>
    <n v="15"/>
    <n v="50"/>
  </r>
  <r>
    <n v="3411"/>
    <s v="Samuel Viana"/>
    <x v="2"/>
    <d v="2024-08-24T00:00:00"/>
    <x v="1"/>
    <n v="10"/>
    <x v="0"/>
    <s v="No"/>
    <s v="-"/>
    <s v="Yes"/>
    <x v="0"/>
    <n v="5"/>
    <n v="25"/>
  </r>
  <r>
    <n v="3412"/>
    <s v="Tatiane Rocha"/>
    <x v="1"/>
    <d v="2024-08-25T00:00:00"/>
    <x v="0"/>
    <n v="5"/>
    <x v="1"/>
    <s v="No"/>
    <s v="-"/>
    <s v="No"/>
    <x v="1"/>
    <n v="0"/>
    <n v="5"/>
  </r>
  <r>
    <n v="3413"/>
    <s v="Ulysses Farias"/>
    <x v="0"/>
    <d v="2024-08-26T00:00:00"/>
    <x v="1"/>
    <n v="15"/>
    <x v="2"/>
    <s v="Yes"/>
    <n v="30"/>
    <s v="Yes"/>
    <x v="0"/>
    <n v="20"/>
    <n v="45"/>
  </r>
  <r>
    <n v="3414"/>
    <s v="Vanessa Moreira"/>
    <x v="2"/>
    <d v="2024-08-27T00:00:00"/>
    <x v="0"/>
    <n v="10"/>
    <x v="2"/>
    <s v="No"/>
    <s v="-"/>
    <s v="Yes"/>
    <x v="0"/>
    <n v="12"/>
    <n v="18"/>
  </r>
  <r>
    <n v="3415"/>
    <s v="William Carvalho"/>
    <x v="1"/>
    <d v="2024-08-28T00:00:00"/>
    <x v="1"/>
    <n v="5"/>
    <x v="0"/>
    <s v="No"/>
    <s v="-"/>
    <s v="No"/>
    <x v="1"/>
    <n v="2"/>
    <n v="3"/>
  </r>
  <r>
    <n v="3416"/>
    <s v="Ximena Barros"/>
    <x v="0"/>
    <d v="2024-08-29T00:00:00"/>
    <x v="0"/>
    <n v="15"/>
    <x v="1"/>
    <s v="Yes"/>
    <n v="30"/>
    <s v="Yes"/>
    <x v="0"/>
    <n v="5"/>
    <n v="60"/>
  </r>
  <r>
    <n v="3417"/>
    <s v="Yara Machado"/>
    <x v="2"/>
    <d v="2024-08-30T00:00:00"/>
    <x v="1"/>
    <n v="10"/>
    <x v="0"/>
    <s v="No"/>
    <s v="-"/>
    <s v="Yes"/>
    <x v="0"/>
    <n v="10"/>
    <n v="20"/>
  </r>
  <r>
    <n v="3418"/>
    <s v="Zacarias Costa"/>
    <x v="1"/>
    <d v="2024-08-31T00:00:00"/>
    <x v="0"/>
    <n v="5"/>
    <x v="2"/>
    <s v="No"/>
    <s v="-"/>
    <s v="No"/>
    <x v="1"/>
    <n v="0"/>
    <n v="5"/>
  </r>
  <r>
    <n v="3419"/>
    <s v="André Lopes"/>
    <x v="0"/>
    <d v="2024-09-01T00:00:00"/>
    <x v="1"/>
    <n v="15"/>
    <x v="0"/>
    <s v="Yes"/>
    <n v="30"/>
    <s v="Yes"/>
    <x v="0"/>
    <n v="3"/>
    <n v="62"/>
  </r>
  <r>
    <n v="3420"/>
    <s v="Beatriz Souza"/>
    <x v="2"/>
    <d v="2024-09-02T00:00:00"/>
    <x v="0"/>
    <n v="10"/>
    <x v="1"/>
    <s v="No"/>
    <s v="-"/>
    <s v="Yes"/>
    <x v="0"/>
    <n v="15"/>
    <n v="15"/>
  </r>
  <r>
    <n v="3421"/>
    <s v="Caio Pereira"/>
    <x v="1"/>
    <d v="2024-09-03T00:00:00"/>
    <x v="1"/>
    <n v="5"/>
    <x v="0"/>
    <s v="No"/>
    <s v="-"/>
    <s v="No"/>
    <x v="1"/>
    <n v="1"/>
    <n v="4"/>
  </r>
  <r>
    <n v="3422"/>
    <s v="Daniela Araújo"/>
    <x v="0"/>
    <d v="2024-09-04T00:00:00"/>
    <x v="0"/>
    <n v="15"/>
    <x v="2"/>
    <s v="Yes"/>
    <n v="30"/>
    <s v="Yes"/>
    <x v="0"/>
    <n v="7"/>
    <n v="58"/>
  </r>
  <r>
    <n v="3423"/>
    <s v="Eduardo Santos"/>
    <x v="2"/>
    <d v="2024-09-05T00:00:00"/>
    <x v="1"/>
    <n v="10"/>
    <x v="0"/>
    <s v="No"/>
    <s v="-"/>
    <s v="Yes"/>
    <x v="0"/>
    <n v="10"/>
    <n v="20"/>
  </r>
  <r>
    <n v="3424"/>
    <s v="Fernanda Lima"/>
    <x v="1"/>
    <d v="2024-09-06T00:00:00"/>
    <x v="0"/>
    <n v="5"/>
    <x v="1"/>
    <s v="No"/>
    <s v="-"/>
    <s v="No"/>
    <x v="1"/>
    <n v="0"/>
    <n v="5"/>
  </r>
  <r>
    <n v="3425"/>
    <s v="Gabriel Teixeira"/>
    <x v="0"/>
    <d v="2024-09-07T00:00:00"/>
    <x v="1"/>
    <n v="15"/>
    <x v="0"/>
    <s v="Yes"/>
    <n v="30"/>
    <s v="Yes"/>
    <x v="0"/>
    <n v="20"/>
    <n v="45"/>
  </r>
  <r>
    <n v="3426"/>
    <s v="Helena Ribeiro"/>
    <x v="2"/>
    <d v="2024-09-08T00:00:00"/>
    <x v="0"/>
    <n v="10"/>
    <x v="2"/>
    <s v="No"/>
    <s v="-"/>
    <s v="Yes"/>
    <x v="0"/>
    <n v="15"/>
    <n v="15"/>
  </r>
  <r>
    <n v="3427"/>
    <s v="Igor Mendes"/>
    <x v="1"/>
    <d v="2024-09-09T00:00:00"/>
    <x v="1"/>
    <n v="5"/>
    <x v="0"/>
    <s v="No"/>
    <s v="-"/>
    <s v="No"/>
    <x v="1"/>
    <n v="1"/>
    <n v="4"/>
  </r>
  <r>
    <n v="3428"/>
    <s v="Joana Silveira"/>
    <x v="0"/>
    <d v="2024-09-10T00:00:00"/>
    <x v="0"/>
    <n v="15"/>
    <x v="1"/>
    <s v="Yes"/>
    <n v="30"/>
    <s v="Yes"/>
    <x v="0"/>
    <n v="3"/>
    <n v="62"/>
  </r>
  <r>
    <n v="3429"/>
    <s v="Lucas Martins"/>
    <x v="2"/>
    <d v="2024-09-11T00:00:00"/>
    <x v="1"/>
    <n v="10"/>
    <x v="0"/>
    <s v="No"/>
    <s v="-"/>
    <s v="Yes"/>
    <x v="0"/>
    <n v="10"/>
    <n v="20"/>
  </r>
  <r>
    <n v="3430"/>
    <s v="Marcela Gouveia"/>
    <x v="1"/>
    <d v="2024-09-12T00:00:00"/>
    <x v="0"/>
    <n v="5"/>
    <x v="2"/>
    <s v="No"/>
    <s v="-"/>
    <s v="No"/>
    <x v="1"/>
    <n v="0"/>
    <n v="5"/>
  </r>
  <r>
    <n v="3431"/>
    <s v="Nicolas Borges"/>
    <x v="0"/>
    <d v="2024-09-13T00:00:00"/>
    <x v="1"/>
    <n v="15"/>
    <x v="0"/>
    <s v="Yes"/>
    <n v="30"/>
    <s v="Yes"/>
    <x v="0"/>
    <n v="15"/>
    <n v="50"/>
  </r>
  <r>
    <n v="3432"/>
    <s v="Olivia Freitas"/>
    <x v="2"/>
    <d v="2024-09-14T00:00:00"/>
    <x v="0"/>
    <n v="10"/>
    <x v="1"/>
    <s v="No"/>
    <s v="-"/>
    <s v="Yes"/>
    <x v="0"/>
    <n v="15"/>
    <n v="15"/>
  </r>
  <r>
    <n v="3433"/>
    <s v="Paulo Nogueira"/>
    <x v="1"/>
    <d v="2024-09-15T00:00:00"/>
    <x v="1"/>
    <n v="5"/>
    <x v="0"/>
    <s v="No"/>
    <s v="-"/>
    <s v="No"/>
    <x v="1"/>
    <n v="1"/>
    <n v="4"/>
  </r>
  <r>
    <n v="3434"/>
    <s v="Raquel Andrade"/>
    <x v="0"/>
    <d v="2024-09-16T00:00:00"/>
    <x v="0"/>
    <n v="15"/>
    <x v="2"/>
    <s v="Yes"/>
    <n v="30"/>
    <s v="Yes"/>
    <x v="0"/>
    <n v="7"/>
    <n v="58"/>
  </r>
  <r>
    <n v="3435"/>
    <s v="Sônia Carvalho"/>
    <x v="2"/>
    <d v="2024-09-17T00:00:00"/>
    <x v="1"/>
    <n v="10"/>
    <x v="0"/>
    <s v="No"/>
    <s v="-"/>
    <s v="Yes"/>
    <x v="0"/>
    <n v="10"/>
    <n v="20"/>
  </r>
  <r>
    <n v="3436"/>
    <s v="Tiago Rodrigues"/>
    <x v="1"/>
    <d v="2024-09-18T00:00:00"/>
    <x v="0"/>
    <n v="5"/>
    <x v="0"/>
    <s v="No"/>
    <s v="-"/>
    <s v="No"/>
    <x v="1"/>
    <n v="0"/>
    <n v="5"/>
  </r>
  <r>
    <n v="3437"/>
    <s v="Ursula Monteiro"/>
    <x v="0"/>
    <d v="2024-09-19T00:00:00"/>
    <x v="1"/>
    <n v="15"/>
    <x v="2"/>
    <s v="Yes"/>
    <n v="30"/>
    <s v="Yes"/>
    <x v="0"/>
    <n v="7"/>
    <n v="58"/>
  </r>
  <r>
    <n v="3438"/>
    <s v="Vanessa Pereira"/>
    <x v="2"/>
    <d v="2024-09-20T00:00:00"/>
    <x v="0"/>
    <n v="10"/>
    <x v="1"/>
    <s v="No"/>
    <s v="-"/>
    <s v="Yes"/>
    <x v="0"/>
    <n v="10"/>
    <n v="20"/>
  </r>
  <r>
    <n v="3439"/>
    <s v="Walter Silva"/>
    <x v="1"/>
    <d v="2024-09-21T00:00:00"/>
    <x v="1"/>
    <n v="5"/>
    <x v="2"/>
    <s v="No"/>
    <s v="-"/>
    <s v="No"/>
    <x v="1"/>
    <n v="1"/>
    <n v="4"/>
  </r>
  <r>
    <n v="3440"/>
    <s v="Xavier Almeida"/>
    <x v="0"/>
    <d v="2024-09-22T00:00:00"/>
    <x v="0"/>
    <n v="15"/>
    <x v="0"/>
    <s v="Yes"/>
    <n v="30"/>
    <s v="Yes"/>
    <x v="0"/>
    <n v="15"/>
    <n v="50"/>
  </r>
  <r>
    <n v="3441"/>
    <s v="Yasmine Correia"/>
    <x v="2"/>
    <d v="2024-09-23T00:00:00"/>
    <x v="1"/>
    <n v="10"/>
    <x v="0"/>
    <s v="No"/>
    <s v="-"/>
    <s v="Yes"/>
    <x v="0"/>
    <n v="5"/>
    <n v="25"/>
  </r>
  <r>
    <n v="3442"/>
    <s v="Zacarias Almeida"/>
    <x v="1"/>
    <d v="2024-09-24T00:00:00"/>
    <x v="0"/>
    <n v="5"/>
    <x v="1"/>
    <s v="No"/>
    <s v="-"/>
    <s v="No"/>
    <x v="1"/>
    <n v="0"/>
    <n v="5"/>
  </r>
  <r>
    <n v="3443"/>
    <s v="Amanda Costa"/>
    <x v="0"/>
    <d v="2024-09-25T00:00:00"/>
    <x v="1"/>
    <n v="15"/>
    <x v="2"/>
    <s v="Yes"/>
    <n v="30"/>
    <s v="Yes"/>
    <x v="0"/>
    <n v="20"/>
    <n v="45"/>
  </r>
  <r>
    <n v="3444"/>
    <s v="Bruno Ferreira"/>
    <x v="2"/>
    <d v="2024-09-26T00:00:00"/>
    <x v="0"/>
    <n v="10"/>
    <x v="2"/>
    <s v="No"/>
    <s v="-"/>
    <s v="Yes"/>
    <x v="0"/>
    <n v="12"/>
    <n v="18"/>
  </r>
  <r>
    <n v="3445"/>
    <s v="Carla Dias"/>
    <x v="1"/>
    <d v="2024-09-27T00:00:00"/>
    <x v="1"/>
    <n v="5"/>
    <x v="0"/>
    <s v="No"/>
    <s v="-"/>
    <s v="No"/>
    <x v="1"/>
    <n v="2"/>
    <n v="3"/>
  </r>
  <r>
    <n v="3446"/>
    <s v="Diogo Martins"/>
    <x v="0"/>
    <d v="2024-09-28T00:00:00"/>
    <x v="0"/>
    <n v="15"/>
    <x v="1"/>
    <s v="Yes"/>
    <n v="30"/>
    <s v="Yes"/>
    <x v="0"/>
    <n v="5"/>
    <n v="60"/>
  </r>
  <r>
    <n v="3447"/>
    <s v="Elisa Campos"/>
    <x v="2"/>
    <d v="2024-09-29T00:00:00"/>
    <x v="1"/>
    <n v="10"/>
    <x v="0"/>
    <s v="No"/>
    <s v="-"/>
    <s v="Yes"/>
    <x v="0"/>
    <n v="10"/>
    <n v="20"/>
  </r>
  <r>
    <n v="3448"/>
    <s v="Fabiana Lima"/>
    <x v="1"/>
    <d v="2024-09-30T00:00:00"/>
    <x v="0"/>
    <n v="5"/>
    <x v="2"/>
    <s v="No"/>
    <s v="-"/>
    <s v="No"/>
    <x v="1"/>
    <n v="0"/>
    <n v="5"/>
  </r>
  <r>
    <n v="3449"/>
    <s v="Gabriel Santos"/>
    <x v="0"/>
    <d v="2024-10-01T00:00:00"/>
    <x v="1"/>
    <n v="15"/>
    <x v="0"/>
    <s v="Yes"/>
    <n v="30"/>
    <s v="Yes"/>
    <x v="0"/>
    <n v="3"/>
    <n v="62"/>
  </r>
  <r>
    <n v="3450"/>
    <s v="Helena Ferreira"/>
    <x v="2"/>
    <d v="2024-10-02T00:00:00"/>
    <x v="0"/>
    <n v="10"/>
    <x v="1"/>
    <s v="No"/>
    <s v="-"/>
    <s v="Yes"/>
    <x v="0"/>
    <n v="15"/>
    <n v="15"/>
  </r>
  <r>
    <n v="3451"/>
    <s v="Ígor Nunes"/>
    <x v="1"/>
    <d v="2024-10-03T00:00:00"/>
    <x v="1"/>
    <n v="5"/>
    <x v="0"/>
    <s v="No"/>
    <s v="-"/>
    <s v="No"/>
    <x v="1"/>
    <n v="1"/>
    <n v="4"/>
  </r>
  <r>
    <n v="3452"/>
    <s v="Joana Silveira"/>
    <x v="0"/>
    <d v="2024-10-04T00:00:00"/>
    <x v="0"/>
    <n v="15"/>
    <x v="2"/>
    <s v="Yes"/>
    <n v="30"/>
    <s v="Yes"/>
    <x v="0"/>
    <n v="7"/>
    <n v="58"/>
  </r>
  <r>
    <n v="3453"/>
    <s v="Kléber Oliveira"/>
    <x v="2"/>
    <d v="2024-10-05T00:00:00"/>
    <x v="1"/>
    <n v="10"/>
    <x v="0"/>
    <s v="No"/>
    <s v="-"/>
    <s v="Yes"/>
    <x v="0"/>
    <n v="10"/>
    <n v="20"/>
  </r>
  <r>
    <n v="3454"/>
    <s v="Luciana Morais"/>
    <x v="1"/>
    <d v="2024-10-06T00:00:00"/>
    <x v="0"/>
    <n v="5"/>
    <x v="1"/>
    <s v="No"/>
    <s v="-"/>
    <s v="No"/>
    <x v="1"/>
    <n v="0"/>
    <n v="5"/>
  </r>
  <r>
    <n v="3455"/>
    <s v="Marcos Vinícius"/>
    <x v="0"/>
    <d v="2024-10-07T00:00:00"/>
    <x v="1"/>
    <n v="15"/>
    <x v="0"/>
    <s v="Yes"/>
    <n v="30"/>
    <s v="Yes"/>
    <x v="0"/>
    <n v="20"/>
    <n v="45"/>
  </r>
  <r>
    <n v="3456"/>
    <s v="Natália Barros"/>
    <x v="2"/>
    <d v="2024-10-08T00:00:00"/>
    <x v="0"/>
    <n v="10"/>
    <x v="2"/>
    <s v="No"/>
    <s v="-"/>
    <s v="Yes"/>
    <x v="0"/>
    <n v="15"/>
    <n v="15"/>
  </r>
  <r>
    <n v="3457"/>
    <s v="Oscar Sampaio"/>
    <x v="1"/>
    <d v="2024-10-09T00:00:00"/>
    <x v="1"/>
    <n v="5"/>
    <x v="0"/>
    <s v="No"/>
    <s v="-"/>
    <s v="No"/>
    <x v="1"/>
    <n v="1"/>
    <n v="4"/>
  </r>
  <r>
    <n v="3458"/>
    <s v="Patrícia Leite"/>
    <x v="0"/>
    <d v="2024-10-10T00:00:00"/>
    <x v="0"/>
    <n v="15"/>
    <x v="1"/>
    <s v="Yes"/>
    <n v="30"/>
    <s v="Yes"/>
    <x v="0"/>
    <n v="3"/>
    <n v="62"/>
  </r>
  <r>
    <n v="3459"/>
    <s v="Quênia Rocha"/>
    <x v="2"/>
    <d v="2024-10-11T00:00:00"/>
    <x v="1"/>
    <n v="10"/>
    <x v="0"/>
    <s v="No"/>
    <s v="-"/>
    <s v="Yes"/>
    <x v="0"/>
    <n v="10"/>
    <n v="20"/>
  </r>
  <r>
    <n v="3460"/>
    <s v="Rafael Torres"/>
    <x v="1"/>
    <d v="2024-10-12T00:00:00"/>
    <x v="0"/>
    <n v="5"/>
    <x v="2"/>
    <s v="No"/>
    <s v="-"/>
    <s v="No"/>
    <x v="1"/>
    <n v="0"/>
    <n v="5"/>
  </r>
  <r>
    <n v="3461"/>
    <s v="Sandra Gouveia"/>
    <x v="0"/>
    <d v="2024-10-13T00:00:00"/>
    <x v="1"/>
    <n v="15"/>
    <x v="0"/>
    <s v="Yes"/>
    <n v="30"/>
    <s v="Yes"/>
    <x v="0"/>
    <n v="15"/>
    <n v="50"/>
  </r>
  <r>
    <n v="3462"/>
    <s v="Tiago Lacerda"/>
    <x v="2"/>
    <d v="2024-10-14T00:00:00"/>
    <x v="0"/>
    <n v="10"/>
    <x v="1"/>
    <s v="No"/>
    <s v="-"/>
    <s v="Yes"/>
    <x v="0"/>
    <n v="15"/>
    <n v="15"/>
  </r>
  <r>
    <n v="3463"/>
    <s v="Ursula Fonseca"/>
    <x v="1"/>
    <d v="2024-10-15T00:00:00"/>
    <x v="1"/>
    <n v="5"/>
    <x v="0"/>
    <s v="No"/>
    <s v="-"/>
    <s v="No"/>
    <x v="1"/>
    <n v="1"/>
    <n v="4"/>
  </r>
  <r>
    <n v="3464"/>
    <s v="Vanessa Andrade"/>
    <x v="0"/>
    <d v="2024-10-16T00:00:00"/>
    <x v="0"/>
    <n v="15"/>
    <x v="2"/>
    <s v="Yes"/>
    <n v="30"/>
    <s v="Yes"/>
    <x v="0"/>
    <n v="7"/>
    <n v="58"/>
  </r>
  <r>
    <n v="3465"/>
    <s v="William Castro"/>
    <x v="2"/>
    <d v="2024-10-17T00:00:00"/>
    <x v="1"/>
    <n v="10"/>
    <x v="0"/>
    <s v="No"/>
    <s v="-"/>
    <s v="Yes"/>
    <x v="0"/>
    <n v="10"/>
    <n v="20"/>
  </r>
  <r>
    <n v="3466"/>
    <s v="Xavier Monteiro"/>
    <x v="1"/>
    <d v="2024-10-18T00:00:00"/>
    <x v="0"/>
    <n v="5"/>
    <x v="1"/>
    <s v="No"/>
    <s v="-"/>
    <s v="No"/>
    <x v="1"/>
    <n v="0"/>
    <n v="5"/>
  </r>
  <r>
    <n v="3467"/>
    <s v="Yasmin Figueira"/>
    <x v="0"/>
    <d v="2024-10-19T00:00:00"/>
    <x v="1"/>
    <n v="15"/>
    <x v="0"/>
    <s v="Yes"/>
    <n v="30"/>
    <s v="Yes"/>
    <x v="0"/>
    <n v="15"/>
    <n v="50"/>
  </r>
  <r>
    <n v="3468"/>
    <s v="Zacarias Mendonça"/>
    <x v="2"/>
    <d v="2024-10-20T00:00:00"/>
    <x v="0"/>
    <n v="10"/>
    <x v="2"/>
    <s v="No"/>
    <s v="-"/>
    <s v="Yes"/>
    <x v="0"/>
    <n v="12"/>
    <n v="18"/>
  </r>
  <r>
    <n v="3469"/>
    <s v="Amanda Menezes"/>
    <x v="1"/>
    <d v="2024-10-21T00:00:00"/>
    <x v="1"/>
    <n v="5"/>
    <x v="0"/>
    <s v="No"/>
    <s v="-"/>
    <s v="No"/>
    <x v="1"/>
    <n v="2"/>
    <n v="3"/>
  </r>
  <r>
    <n v="3470"/>
    <s v="Bruno Santos"/>
    <x v="0"/>
    <d v="2024-10-22T00:00:00"/>
    <x v="0"/>
    <n v="15"/>
    <x v="1"/>
    <s v="Yes"/>
    <n v="30"/>
    <s v="Yes"/>
    <x v="0"/>
    <n v="5"/>
    <n v="60"/>
  </r>
  <r>
    <n v="3471"/>
    <s v="Carla Ferreira"/>
    <x v="2"/>
    <d v="2024-10-23T00:00:00"/>
    <x v="1"/>
    <n v="10"/>
    <x v="0"/>
    <s v="No"/>
    <s v="-"/>
    <s v="Yes"/>
    <x v="0"/>
    <n v="10"/>
    <n v="20"/>
  </r>
  <r>
    <n v="3472"/>
    <s v="Diogo Alves"/>
    <x v="1"/>
    <d v="2024-10-24T00:00:00"/>
    <x v="0"/>
    <n v="5"/>
    <x v="2"/>
    <s v="No"/>
    <s v="-"/>
    <s v="No"/>
    <x v="1"/>
    <n v="0"/>
    <n v="5"/>
  </r>
  <r>
    <n v="3473"/>
    <s v="Elisa Neves"/>
    <x v="0"/>
    <d v="2024-10-25T00:00:00"/>
    <x v="1"/>
    <n v="15"/>
    <x v="0"/>
    <s v="Yes"/>
    <n v="30"/>
    <s v="Yes"/>
    <x v="0"/>
    <n v="3"/>
    <n v="62"/>
  </r>
  <r>
    <n v="3474"/>
    <s v="Fabiano Pires"/>
    <x v="2"/>
    <d v="2024-10-26T00:00:00"/>
    <x v="0"/>
    <n v="10"/>
    <x v="1"/>
    <s v="No"/>
    <s v="-"/>
    <s v="Yes"/>
    <x v="0"/>
    <n v="15"/>
    <n v="15"/>
  </r>
  <r>
    <n v="3475"/>
    <s v="Giovana Ribeiro"/>
    <x v="1"/>
    <d v="2024-10-27T00:00:00"/>
    <x v="1"/>
    <n v="5"/>
    <x v="0"/>
    <s v="No"/>
    <s v="-"/>
    <s v="No"/>
    <x v="1"/>
    <n v="1"/>
    <n v="4"/>
  </r>
  <r>
    <n v="3476"/>
    <s v="Hélio Costa"/>
    <x v="0"/>
    <d v="2024-10-28T00:00:00"/>
    <x v="0"/>
    <n v="15"/>
    <x v="2"/>
    <s v="Yes"/>
    <n v="30"/>
    <s v="Yes"/>
    <x v="0"/>
    <n v="7"/>
    <n v="58"/>
  </r>
  <r>
    <n v="3477"/>
    <s v="Íris Loureiro"/>
    <x v="2"/>
    <d v="2024-10-29T00:00:00"/>
    <x v="1"/>
    <n v="10"/>
    <x v="0"/>
    <s v="No"/>
    <s v="-"/>
    <s v="Yes"/>
    <x v="0"/>
    <n v="10"/>
    <n v="20"/>
  </r>
  <r>
    <n v="3478"/>
    <s v="João Pereira"/>
    <x v="1"/>
    <d v="2024-10-30T00:00:00"/>
    <x v="0"/>
    <n v="5"/>
    <x v="1"/>
    <s v="No"/>
    <s v="-"/>
    <s v="No"/>
    <x v="1"/>
    <n v="0"/>
    <n v="5"/>
  </r>
  <r>
    <n v="3479"/>
    <s v="Klara Silva"/>
    <x v="0"/>
    <d v="2024-10-31T00:00:00"/>
    <x v="1"/>
    <n v="15"/>
    <x v="0"/>
    <s v="Yes"/>
    <n v="30"/>
    <s v="Yes"/>
    <x v="0"/>
    <n v="20"/>
    <n v="45"/>
  </r>
  <r>
    <n v="3480"/>
    <s v="Luciana Barros"/>
    <x v="2"/>
    <d v="2024-11-01T00:00:00"/>
    <x v="0"/>
    <n v="10"/>
    <x v="2"/>
    <s v="No"/>
    <s v="-"/>
    <s v="Yes"/>
    <x v="0"/>
    <n v="15"/>
    <n v="15"/>
  </r>
  <r>
    <n v="3481"/>
    <s v="Marcos Gomes"/>
    <x v="1"/>
    <d v="2024-11-02T00:00:00"/>
    <x v="1"/>
    <n v="5"/>
    <x v="0"/>
    <s v="No"/>
    <s v="-"/>
    <s v="No"/>
    <x v="1"/>
    <n v="1"/>
    <n v="4"/>
  </r>
  <r>
    <n v="3482"/>
    <s v="Natália Soares"/>
    <x v="0"/>
    <d v="2024-11-03T00:00:00"/>
    <x v="0"/>
    <n v="15"/>
    <x v="1"/>
    <s v="Yes"/>
    <n v="30"/>
    <s v="Yes"/>
    <x v="0"/>
    <n v="3"/>
    <n v="62"/>
  </r>
  <r>
    <n v="3483"/>
    <s v="Oscar Machado"/>
    <x v="2"/>
    <d v="2024-11-04T00:00:00"/>
    <x v="1"/>
    <n v="10"/>
    <x v="0"/>
    <s v="No"/>
    <s v="-"/>
    <s v="Yes"/>
    <x v="0"/>
    <n v="10"/>
    <n v="20"/>
  </r>
  <r>
    <n v="3484"/>
    <s v="Patrícia Lima"/>
    <x v="1"/>
    <d v="2024-11-05T00:00:00"/>
    <x v="0"/>
    <n v="5"/>
    <x v="2"/>
    <s v="No"/>
    <s v="-"/>
    <s v="No"/>
    <x v="1"/>
    <n v="0"/>
    <n v="5"/>
  </r>
  <r>
    <n v="3485"/>
    <s v="Quirino Neto"/>
    <x v="0"/>
    <d v="2024-11-06T00:00:00"/>
    <x v="1"/>
    <n v="15"/>
    <x v="0"/>
    <s v="Yes"/>
    <n v="30"/>
    <s v="Yes"/>
    <x v="0"/>
    <n v="15"/>
    <n v="50"/>
  </r>
  <r>
    <n v="3486"/>
    <s v="Rafaela Souza"/>
    <x v="1"/>
    <d v="2024-11-07T00:00:00"/>
    <x v="0"/>
    <n v="5"/>
    <x v="0"/>
    <s v="No"/>
    <s v="-"/>
    <s v="No"/>
    <x v="1"/>
    <n v="0"/>
    <n v="5"/>
  </r>
  <r>
    <n v="3487"/>
    <s v="Sandro Almeida"/>
    <x v="0"/>
    <d v="2024-11-08T00:00:00"/>
    <x v="1"/>
    <n v="15"/>
    <x v="2"/>
    <s v="Yes"/>
    <n v="30"/>
    <s v="Yes"/>
    <x v="0"/>
    <n v="7"/>
    <n v="58"/>
  </r>
  <r>
    <n v="3488"/>
    <s v="Tânia Ribeiro"/>
    <x v="2"/>
    <d v="2024-11-09T00:00:00"/>
    <x v="0"/>
    <n v="10"/>
    <x v="1"/>
    <s v="No"/>
    <s v="-"/>
    <s v="Yes"/>
    <x v="0"/>
    <n v="10"/>
    <n v="20"/>
  </r>
  <r>
    <n v="3489"/>
    <s v="Ugo Dias"/>
    <x v="1"/>
    <d v="2024-11-10T00:00:00"/>
    <x v="1"/>
    <n v="5"/>
    <x v="2"/>
    <s v="No"/>
    <s v="-"/>
    <s v="No"/>
    <x v="1"/>
    <n v="1"/>
    <n v="4"/>
  </r>
  <r>
    <n v="3490"/>
    <s v="Valéria Lima"/>
    <x v="0"/>
    <d v="2024-11-11T00:00:00"/>
    <x v="0"/>
    <n v="15"/>
    <x v="0"/>
    <s v="Yes"/>
    <n v="30"/>
    <s v="Yes"/>
    <x v="0"/>
    <n v="15"/>
    <n v="50"/>
  </r>
  <r>
    <n v="3491"/>
    <s v="William Fernandes"/>
    <x v="2"/>
    <d v="2024-11-12T00:00:00"/>
    <x v="1"/>
    <n v="10"/>
    <x v="0"/>
    <s v="No"/>
    <s v="-"/>
    <s v="Yes"/>
    <x v="0"/>
    <n v="5"/>
    <n v="25"/>
  </r>
  <r>
    <n v="3492"/>
    <s v="Xuxa Mendes"/>
    <x v="1"/>
    <d v="2024-11-13T00:00:00"/>
    <x v="0"/>
    <n v="5"/>
    <x v="1"/>
    <s v="No"/>
    <s v="-"/>
    <s v="No"/>
    <x v="1"/>
    <n v="0"/>
    <n v="5"/>
  </r>
  <r>
    <n v="3493"/>
    <s v="Ygor Farias"/>
    <x v="0"/>
    <d v="2024-11-14T00:00:00"/>
    <x v="1"/>
    <n v="15"/>
    <x v="2"/>
    <s v="Yes"/>
    <n v="30"/>
    <s v="Yes"/>
    <x v="0"/>
    <n v="20"/>
    <n v="45"/>
  </r>
  <r>
    <n v="3494"/>
    <s v="Zilda Barros"/>
    <x v="2"/>
    <d v="2024-11-15T00:00:00"/>
    <x v="0"/>
    <n v="10"/>
    <x v="2"/>
    <s v="No"/>
    <s v="-"/>
    <s v="Yes"/>
    <x v="0"/>
    <n v="12"/>
    <n v="18"/>
  </r>
  <r>
    <n v="3495"/>
    <s v="Amanda Santos"/>
    <x v="1"/>
    <d v="2024-11-16T00:00:00"/>
    <x v="1"/>
    <n v="5"/>
    <x v="0"/>
    <s v="No"/>
    <s v="-"/>
    <s v="No"/>
    <x v="1"/>
    <n v="2"/>
    <n v="3"/>
  </r>
  <r>
    <n v="3496"/>
    <s v="Bruno Costa"/>
    <x v="0"/>
    <d v="2024-11-17T00:00:00"/>
    <x v="0"/>
    <n v="15"/>
    <x v="1"/>
    <s v="Yes"/>
    <n v="30"/>
    <s v="Yes"/>
    <x v="0"/>
    <n v="5"/>
    <n v="60"/>
  </r>
  <r>
    <n v="3497"/>
    <s v="Carla Rodrigues"/>
    <x v="2"/>
    <d v="2024-11-18T00:00:00"/>
    <x v="1"/>
    <n v="10"/>
    <x v="0"/>
    <s v="No"/>
    <s v="-"/>
    <s v="Yes"/>
    <x v="0"/>
    <n v="10"/>
    <n v="20"/>
  </r>
  <r>
    <n v="3498"/>
    <s v="Diogo Pereira"/>
    <x v="1"/>
    <d v="2024-11-19T00:00:00"/>
    <x v="0"/>
    <n v="5"/>
    <x v="2"/>
    <s v="No"/>
    <s v="-"/>
    <s v="No"/>
    <x v="1"/>
    <n v="0"/>
    <n v="5"/>
  </r>
  <r>
    <n v="3499"/>
    <s v="Elisa Correia"/>
    <x v="0"/>
    <d v="2024-11-20T00:00:00"/>
    <x v="1"/>
    <n v="15"/>
    <x v="0"/>
    <s v="Yes"/>
    <n v="30"/>
    <s v="Yes"/>
    <x v="0"/>
    <n v="3"/>
    <n v="62"/>
  </r>
  <r>
    <n v="3500"/>
    <s v="Fábio Lourenço"/>
    <x v="2"/>
    <d v="2024-11-21T00:00:00"/>
    <x v="0"/>
    <n v="10"/>
    <x v="1"/>
    <s v="No"/>
    <s v="-"/>
    <s v="Yes"/>
    <x v="0"/>
    <n v="15"/>
    <n v="15"/>
  </r>
  <r>
    <n v="3501"/>
    <s v="Gabriela Neves"/>
    <x v="1"/>
    <d v="2024-11-22T00:00:00"/>
    <x v="1"/>
    <n v="5"/>
    <x v="0"/>
    <s v="No"/>
    <s v="-"/>
    <s v="No"/>
    <x v="1"/>
    <n v="1"/>
    <n v="4"/>
  </r>
  <r>
    <n v="3502"/>
    <s v="Henrique Gonçalves"/>
    <x v="0"/>
    <d v="2024-11-23T00:00:00"/>
    <x v="0"/>
    <n v="15"/>
    <x v="2"/>
    <s v="Yes"/>
    <n v="30"/>
    <s v="Yes"/>
    <x v="0"/>
    <n v="7"/>
    <n v="58"/>
  </r>
  <r>
    <n v="3503"/>
    <s v="Íris Santos"/>
    <x v="2"/>
    <d v="2024-11-24T00:00:00"/>
    <x v="1"/>
    <n v="10"/>
    <x v="0"/>
    <s v="No"/>
    <s v="-"/>
    <s v="Yes"/>
    <x v="0"/>
    <n v="10"/>
    <n v="20"/>
  </r>
  <r>
    <n v="3504"/>
    <s v="João Marcelo Alves"/>
    <x v="1"/>
    <d v="2024-11-25T00:00:00"/>
    <x v="0"/>
    <n v="5"/>
    <x v="1"/>
    <s v="No"/>
    <s v="-"/>
    <s v="No"/>
    <x v="1"/>
    <n v="0"/>
    <n v="5"/>
  </r>
  <r>
    <n v="3505"/>
    <s v="Klara Fonseca"/>
    <x v="0"/>
    <d v="2024-11-26T00:00:00"/>
    <x v="1"/>
    <n v="15"/>
    <x v="0"/>
    <s v="Yes"/>
    <n v="30"/>
    <s v="Yes"/>
    <x v="0"/>
    <n v="20"/>
    <n v="45"/>
  </r>
  <r>
    <n v="3506"/>
    <s v="Lucas Mendonça"/>
    <x v="2"/>
    <d v="2024-11-27T00:00:00"/>
    <x v="0"/>
    <n v="10"/>
    <x v="2"/>
    <s v="No"/>
    <s v="-"/>
    <s v="Yes"/>
    <x v="0"/>
    <n v="15"/>
    <n v="15"/>
  </r>
  <r>
    <n v="3507"/>
    <s v="Marcela Torres"/>
    <x v="1"/>
    <d v="2024-11-28T00:00:00"/>
    <x v="1"/>
    <n v="5"/>
    <x v="0"/>
    <s v="No"/>
    <s v="-"/>
    <s v="No"/>
    <x v="1"/>
    <n v="1"/>
    <n v="4"/>
  </r>
  <r>
    <n v="3508"/>
    <s v="Natália Castro"/>
    <x v="0"/>
    <d v="2024-11-29T00:00:00"/>
    <x v="0"/>
    <n v="15"/>
    <x v="1"/>
    <s v="Yes"/>
    <n v="30"/>
    <s v="Yes"/>
    <x v="0"/>
    <n v="3"/>
    <n v="62"/>
  </r>
  <r>
    <n v="3509"/>
    <s v="Oscar Martins"/>
    <x v="2"/>
    <d v="2024-11-30T00:00:00"/>
    <x v="1"/>
    <n v="10"/>
    <x v="0"/>
    <s v="No"/>
    <s v="-"/>
    <s v="Yes"/>
    <x v="0"/>
    <n v="10"/>
    <n v="20"/>
  </r>
  <r>
    <n v="3510"/>
    <s v="Patrícia Oliveira"/>
    <x v="1"/>
    <d v="2024-12-01T00:00:00"/>
    <x v="0"/>
    <n v="5"/>
    <x v="2"/>
    <s v="No"/>
    <s v="-"/>
    <s v="No"/>
    <x v="1"/>
    <n v="0"/>
    <n v="5"/>
  </r>
  <r>
    <n v="3511"/>
    <s v="Quentin Nogueira"/>
    <x v="0"/>
    <d v="2024-12-02T00:00:00"/>
    <x v="1"/>
    <n v="15"/>
    <x v="0"/>
    <s v="Yes"/>
    <n v="30"/>
    <s v="Yes"/>
    <x v="0"/>
    <n v="15"/>
    <n v="50"/>
  </r>
  <r>
    <n v="3512"/>
    <s v="Raquel Silva"/>
    <x v="2"/>
    <d v="2024-12-03T00:00:00"/>
    <x v="0"/>
    <n v="10"/>
    <x v="1"/>
    <s v="No"/>
    <s v="-"/>
    <s v="Yes"/>
    <x v="0"/>
    <n v="15"/>
    <n v="15"/>
  </r>
  <r>
    <n v="3513"/>
    <s v="Sandro Gomes"/>
    <x v="1"/>
    <d v="2024-12-04T00:00:00"/>
    <x v="1"/>
    <n v="5"/>
    <x v="0"/>
    <s v="No"/>
    <s v="-"/>
    <s v="No"/>
    <x v="1"/>
    <n v="1"/>
    <n v="4"/>
  </r>
  <r>
    <n v="3514"/>
    <s v="Tânia Machado"/>
    <x v="0"/>
    <d v="2024-12-05T00:00:00"/>
    <x v="0"/>
    <n v="15"/>
    <x v="2"/>
    <s v="Yes"/>
    <n v="30"/>
    <s v="Yes"/>
    <x v="0"/>
    <n v="7"/>
    <n v="58"/>
  </r>
  <r>
    <n v="3515"/>
    <s v="Ursula Silva"/>
    <x v="2"/>
    <d v="2024-12-06T00:00:00"/>
    <x v="1"/>
    <n v="10"/>
    <x v="0"/>
    <s v="No"/>
    <s v="-"/>
    <s v="Yes"/>
    <x v="0"/>
    <n v="10"/>
    <n v="20"/>
  </r>
  <r>
    <n v="3516"/>
    <s v="Vanessa Moraes"/>
    <x v="1"/>
    <d v="2024-12-07T00:00:00"/>
    <x v="0"/>
    <n v="5"/>
    <x v="1"/>
    <s v="No"/>
    <s v="-"/>
    <s v="No"/>
    <x v="1"/>
    <n v="0"/>
    <n v="5"/>
  </r>
  <r>
    <n v="3517"/>
    <s v="William Carvalho"/>
    <x v="0"/>
    <d v="2024-12-08T00:00:00"/>
    <x v="1"/>
    <n v="15"/>
    <x v="0"/>
    <s v="Yes"/>
    <n v="30"/>
    <s v="Yes"/>
    <x v="0"/>
    <n v="20"/>
    <n v="45"/>
  </r>
  <r>
    <n v="3518"/>
    <s v="Xavier Reis"/>
    <x v="2"/>
    <d v="2024-12-09T00:00:00"/>
    <x v="0"/>
    <n v="10"/>
    <x v="2"/>
    <s v="No"/>
    <s v="-"/>
    <s v="Yes"/>
    <x v="0"/>
    <n v="12"/>
    <n v="18"/>
  </r>
  <r>
    <n v="3519"/>
    <s v="Yasmin Rocha"/>
    <x v="1"/>
    <d v="2024-12-10T00:00:00"/>
    <x v="1"/>
    <n v="5"/>
    <x v="0"/>
    <s v="No"/>
    <s v="-"/>
    <s v="No"/>
    <x v="1"/>
    <n v="2"/>
    <n v="3"/>
  </r>
  <r>
    <n v="3520"/>
    <s v="Zacarias Duarte"/>
    <x v="0"/>
    <d v="2024-12-11T00:00:00"/>
    <x v="0"/>
    <n v="15"/>
    <x v="1"/>
    <s v="Yes"/>
    <n v="30"/>
    <s v="Yes"/>
    <x v="0"/>
    <n v="5"/>
    <n v="60"/>
  </r>
  <r>
    <n v="3521"/>
    <s v="Amanda Freitas"/>
    <x v="2"/>
    <d v="2024-12-12T00:00:00"/>
    <x v="1"/>
    <n v="10"/>
    <x v="0"/>
    <s v="No"/>
    <s v="-"/>
    <s v="Yes"/>
    <x v="0"/>
    <n v="10"/>
    <n v="20"/>
  </r>
  <r>
    <n v="3522"/>
    <s v="Bruno Almeida"/>
    <x v="1"/>
    <d v="2024-12-13T00:00:00"/>
    <x v="0"/>
    <n v="5"/>
    <x v="2"/>
    <s v="No"/>
    <s v="-"/>
    <s v="No"/>
    <x v="1"/>
    <n v="0"/>
    <n v="5"/>
  </r>
  <r>
    <n v="3523"/>
    <s v="Carla Siqueira"/>
    <x v="0"/>
    <d v="2024-12-14T00:00:00"/>
    <x v="1"/>
    <n v="15"/>
    <x v="0"/>
    <s v="Yes"/>
    <n v="30"/>
    <s v="Yes"/>
    <x v="0"/>
    <n v="3"/>
    <n v="62"/>
  </r>
  <r>
    <n v="3524"/>
    <s v="Diogo Ramos"/>
    <x v="2"/>
    <d v="2024-12-15T00:00:00"/>
    <x v="0"/>
    <n v="10"/>
    <x v="1"/>
    <s v="No"/>
    <s v="-"/>
    <s v="Yes"/>
    <x v="0"/>
    <n v="15"/>
    <n v="15"/>
  </r>
  <r>
    <n v="3525"/>
    <s v="Elisa Magalhães"/>
    <x v="1"/>
    <d v="2024-12-16T00:00:00"/>
    <x v="1"/>
    <n v="5"/>
    <x v="0"/>
    <s v="No"/>
    <s v="-"/>
    <s v="No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056D2E-B9FD-4FA4-8329-5E6A8351AD09}" name="PivotTable2" cacheId="1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C34:D38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showAll="0">
      <items count="4">
        <item sd="0" x="1"/>
        <item x="0"/>
        <item x="2"/>
        <item t="default"/>
      </items>
    </pivotField>
    <pivotField compact="0" outline="0" showAll="0"/>
    <pivotField dataField="1" compact="0" outline="0" showAll="0"/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um of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88E2FC-30A4-408C-9E44-3EE334EB1546}" name="PivotTable1" cacheId="1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5">
  <location ref="C24:D28" firstHeaderRow="1" firstDataRow="1" firstDataCol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C3EE4-EC48-4635-B344-1FD030686176}" name="Tabela Dinâmica1" cacheId="1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7">
  <location ref="C10:E18" firstHeaderRow="1" firstDataRow="1" firstDataCol="2"/>
  <pivotFields count="13"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axis="axisRow" compact="0" outline="0" showAll="0">
      <items count="4">
        <item sd="0"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2">
    <field x="6"/>
    <field x="4"/>
  </rowFields>
  <rowItems count="8">
    <i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Soma de Total Value" fld="12" baseField="0" baseItem="0" numFmtId="164"/>
  </dataFields>
  <chartFormats count="9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5D66F-0AAE-4BFE-958A-E39ACC3B5FB2}" name="PivotTable2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B519" firstHeaderRow="0" firstDataRow="0" firstDataCol="0" rowPageCount="1" colPageCount="1"/>
  <pivotFields count="13">
    <pivotField compact="0" outline="0" showAll="0"/>
    <pivotField compact="0" outline="0" showAll="0"/>
    <pivotField compact="0" outline="0" showAll="0"/>
    <pivotField compact="0" numFmtId="14" outline="0" showAll="0"/>
    <pivotField compact="0" outline="0" showAll="0"/>
    <pivotField compact="0" numFmtId="164" outline="0" showAll="0"/>
    <pivotField axis="axisPage" compact="0" outline="0" showAll="0">
      <items count="4">
        <item x="1"/>
        <item x="0"/>
        <item x="2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>
      <items count="3">
        <item x="1"/>
        <item x="0"/>
        <item t="default"/>
      </items>
    </pivotField>
    <pivotField compact="0" numFmtId="164" outline="0" showAll="0"/>
    <pivotField compact="0" numFmtId="164" outline="0" showAll="0"/>
  </pivotFields>
  <pageFields count="1">
    <pageField fld="6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DCA974-5DCE-454A-8103-92F0F2962249}" name="PivotTable4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B552:C556" firstHeaderRow="1" firstDataRow="1" firstDataCol="1" rowPageCount="1" colPageCount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axis="axisPage" compact="0" outline="0" multipleItemSelectionAllowed="1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dataField="1"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um of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188F49-1D5C-4074-82C8-6B3B45305155}" name="PivotTable1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2">
  <location ref="B467:D477" firstHeaderRow="1" firstDataRow="1" firstDataCol="2"/>
  <pivotFields count="13">
    <pivotField compact="0" outline="0" showAll="0"/>
    <pivotField compact="0" outline="0" showAll="0"/>
    <pivotField compact="0" outline="0" showAll="0">
      <items count="4">
        <item x="1"/>
        <item x="2"/>
        <item x="0"/>
        <item t="default"/>
      </items>
    </pivotField>
    <pivotField compact="0" numFmtId="14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axis="axisRow"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dataField="1" compact="0" numFmtId="164" outline="0" showAll="0"/>
  </pivotFields>
  <rowFields count="2">
    <field x="6"/>
    <field x="4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Items count="1">
    <i/>
  </colItems>
  <dataFields count="1">
    <dataField name="Sum of Total Value" fld="12" baseField="0" baseItem="0" numFmtId="164"/>
  </dataFields>
  <chartFormats count="2">
    <chartFormat chart="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4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45D5C5-12B0-40B7-8710-FC38B831664C}" name="Tabela dinâmica3" cacheId="12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1">
  <location ref="B509:C513" firstHeaderRow="1" firstDataRow="1" firstDataCol="1"/>
  <pivotFields count="13"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numFmtId="14" outline="0" showAll="0"/>
    <pivotField compact="0" outline="0" showAll="0">
      <items count="3">
        <item x="1"/>
        <item x="0"/>
        <item t="default"/>
      </items>
    </pivotField>
    <pivotField compact="0" numFmtId="164" outline="0" showAll="0"/>
    <pivotField compact="0" outline="0" showAll="0">
      <items count="4">
        <item x="1"/>
        <item x="0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dataField="1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numFmtId="164" outline="0" showAll="0"/>
    <pivotField compact="0" numFmtId="164" outline="0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EA Play Season PassPrice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Subscription_Type" xr10:uid="{7AA73EE5-310C-4081-97B8-37910CBC4E4F}" sourceName="Subscription Type">
  <pivotTables>
    <pivotTable tabId="4" name="PivotTable4"/>
    <pivotTable tabId="4" name="PivotTable1"/>
    <pivotTable tabId="4" name="Tabela dinâmica3"/>
  </pivotTables>
  <data>
    <tabular pivotCacheId="2142021686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45B5D35-FA28-4E5A-9B26-318C9B0CEA46}" cache="Slicer_Subscription_Type" caption="Subscription Type" style="SlicerStyleLight6" lockedPosition="1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microsoft.com/office/2007/relationships/slicer" Target="../slicers/slicer1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2" zoomScaleNormal="100" workbookViewId="0">
      <selection activeCell="N30" sqref="N30"/>
    </sheetView>
  </sheetViews>
  <sheetFormatPr defaultRowHeight="15"/>
  <cols>
    <col min="9" max="9" width="3.5703125" customWidth="1"/>
  </cols>
  <sheetData>
    <row r="3" spans="2:16" ht="20.25" thickBot="1">
      <c r="B3" s="1" t="s">
        <v>0</v>
      </c>
      <c r="C3" s="1"/>
      <c r="D3" s="1"/>
      <c r="E3" s="1"/>
      <c r="F3" s="1"/>
      <c r="G3" s="1"/>
      <c r="H3" s="1"/>
    </row>
    <row r="4" spans="2:16" ht="15.75" thickTop="1"/>
    <row r="5" spans="2:16">
      <c r="B5" s="3" t="s">
        <v>1</v>
      </c>
      <c r="C5" t="s">
        <v>2</v>
      </c>
      <c r="E5" s="7" t="s">
        <v>3</v>
      </c>
      <c r="F5" t="s">
        <v>4</v>
      </c>
    </row>
    <row r="6" spans="2:16">
      <c r="B6" s="4" t="s">
        <v>5</v>
      </c>
      <c r="C6" t="s">
        <v>2</v>
      </c>
    </row>
    <row r="7" spans="2:16">
      <c r="B7" s="5" t="s">
        <v>6</v>
      </c>
      <c r="C7" t="s">
        <v>7</v>
      </c>
    </row>
    <row r="8" spans="2:16">
      <c r="B8" s="6" t="s">
        <v>8</v>
      </c>
      <c r="C8" t="s">
        <v>7</v>
      </c>
    </row>
    <row r="12" spans="2:16" ht="20.25" thickBot="1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"/>
    </sheetView>
  </sheetViews>
  <sheetFormatPr defaultRowHeight="1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10:E38"/>
  <sheetViews>
    <sheetView showGridLines="0" topLeftCell="A16" workbookViewId="0">
      <selection activeCell="C34" sqref="C34"/>
    </sheetView>
  </sheetViews>
  <sheetFormatPr defaultRowHeight="15"/>
  <cols>
    <col min="3" max="3" width="16" bestFit="1" customWidth="1"/>
    <col min="4" max="4" width="29.85546875" bestFit="1" customWidth="1"/>
    <col min="5" max="5" width="29.85546875" customWidth="1"/>
    <col min="6" max="7" width="12" bestFit="1" customWidth="1"/>
    <col min="8" max="8" width="9.28515625" customWidth="1"/>
    <col min="9" max="10" width="9.28515625" bestFit="1" customWidth="1"/>
    <col min="11" max="11" width="11.85546875" bestFit="1" customWidth="1"/>
    <col min="12" max="12" width="9.85546875" bestFit="1" customWidth="1"/>
    <col min="13" max="18" width="8.140625" bestFit="1" customWidth="1"/>
    <col min="19" max="21" width="9.28515625" bestFit="1" customWidth="1"/>
    <col min="22" max="22" width="12.85546875" bestFit="1" customWidth="1"/>
    <col min="23" max="23" width="11" bestFit="1" customWidth="1"/>
    <col min="24" max="25" width="8.140625" bestFit="1" customWidth="1"/>
    <col min="26" max="29" width="9.28515625" bestFit="1" customWidth="1"/>
    <col min="30" max="30" width="14" bestFit="1" customWidth="1"/>
    <col min="31" max="31" width="10.42578125" bestFit="1" customWidth="1"/>
  </cols>
  <sheetData>
    <row r="10" spans="3:5">
      <c r="C10" s="12" t="s">
        <v>17</v>
      </c>
      <c r="D10" s="12" t="s">
        <v>15</v>
      </c>
      <c r="E10" t="s">
        <v>313</v>
      </c>
    </row>
    <row r="11" spans="3:5">
      <c r="C11" t="s">
        <v>31</v>
      </c>
      <c r="E11" s="13">
        <v>1754</v>
      </c>
    </row>
    <row r="12" spans="3:5">
      <c r="C12" t="s">
        <v>27</v>
      </c>
      <c r="D12" t="s">
        <v>30</v>
      </c>
      <c r="E12" s="13">
        <v>2824</v>
      </c>
    </row>
    <row r="13" spans="3:5">
      <c r="D13" t="s">
        <v>26</v>
      </c>
      <c r="E13" s="13">
        <v>747</v>
      </c>
    </row>
    <row r="14" spans="3:5">
      <c r="C14" t="s">
        <v>314</v>
      </c>
      <c r="E14" s="13">
        <v>3571</v>
      </c>
    </row>
    <row r="15" spans="3:5">
      <c r="C15" t="s">
        <v>35</v>
      </c>
      <c r="D15" t="s">
        <v>30</v>
      </c>
      <c r="E15" s="13">
        <v>806</v>
      </c>
    </row>
    <row r="16" spans="3:5">
      <c r="D16" t="s">
        <v>26</v>
      </c>
      <c r="E16" s="13">
        <v>1502</v>
      </c>
    </row>
    <row r="17" spans="3:5">
      <c r="C17" t="s">
        <v>315</v>
      </c>
      <c r="E17" s="13">
        <v>2308</v>
      </c>
    </row>
    <row r="18" spans="3:5">
      <c r="C18" t="s">
        <v>316</v>
      </c>
      <c r="E18" s="13">
        <v>7633</v>
      </c>
    </row>
    <row r="24" spans="3:5">
      <c r="C24" s="12" t="s">
        <v>17</v>
      </c>
      <c r="D24" t="s">
        <v>317</v>
      </c>
    </row>
    <row r="25" spans="3:5">
      <c r="C25" t="s">
        <v>31</v>
      </c>
      <c r="D25" s="13">
        <v>940</v>
      </c>
    </row>
    <row r="26" spans="3:5">
      <c r="C26" t="s">
        <v>27</v>
      </c>
      <c r="D26" s="13">
        <v>1800</v>
      </c>
    </row>
    <row r="27" spans="3:5">
      <c r="C27" t="s">
        <v>35</v>
      </c>
      <c r="D27" s="13">
        <v>1140</v>
      </c>
    </row>
    <row r="28" spans="3:5">
      <c r="C28" t="s">
        <v>316</v>
      </c>
      <c r="D28" s="13">
        <v>3880</v>
      </c>
    </row>
    <row r="32" spans="3:5">
      <c r="C32" s="12" t="s">
        <v>17</v>
      </c>
      <c r="D32" t="s">
        <v>318</v>
      </c>
    </row>
    <row r="34" spans="3:4">
      <c r="C34" s="12" t="s">
        <v>13</v>
      </c>
      <c r="D34" t="s">
        <v>319</v>
      </c>
    </row>
    <row r="35" spans="3:4">
      <c r="C35" t="s">
        <v>29</v>
      </c>
      <c r="D35" s="16">
        <v>0</v>
      </c>
    </row>
    <row r="36" spans="3:4">
      <c r="C36" t="s">
        <v>34</v>
      </c>
      <c r="D36" s="16">
        <v>0</v>
      </c>
    </row>
    <row r="37" spans="3:4">
      <c r="C37" t="s">
        <v>25</v>
      </c>
      <c r="D37" s="16">
        <v>2940</v>
      </c>
    </row>
    <row r="38" spans="3:4">
      <c r="C38" t="s">
        <v>316</v>
      </c>
      <c r="D38" s="16">
        <v>2940</v>
      </c>
    </row>
  </sheetData>
  <sheetProtection formatCells="0" formatColumns="0" formatRows="0" insertColumns="0" insertRows="0" insertHyperlinks="0" deleteColumns="0" deleteRows="0" sort="0" autoFilter="0" pivotTables="0"/>
  <protectedRanges>
    <protectedRange sqref="A1:K33 A34:B38 F34:K38 C34:E42" name="Range1"/>
  </protectedRange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Y556"/>
  <sheetViews>
    <sheetView showGridLines="0" showRowColHeaders="0" tabSelected="1" zoomScale="80" zoomScaleNormal="80" workbookViewId="0">
      <pane ySplit="1" topLeftCell="A2" activePane="bottomLeft" state="frozen"/>
      <selection pane="bottomLeft" activeCell="C9" sqref="C9:E20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5"/>
  <cols>
    <col min="1" max="1" width="21.85546875" style="14" customWidth="1"/>
    <col min="2" max="2" width="11.140625" customWidth="1"/>
    <col min="3" max="3" width="29.85546875" customWidth="1"/>
    <col min="4" max="4" width="17.28515625" customWidth="1"/>
    <col min="5" max="5" width="11.28515625" customWidth="1"/>
    <col min="6" max="6" width="21.85546875" customWidth="1"/>
    <col min="7" max="7" width="19" customWidth="1"/>
    <col min="8" max="9" width="11.42578125" bestFit="1" customWidth="1"/>
    <col min="10" max="10" width="13.5703125" customWidth="1"/>
    <col min="11" max="11" width="11.42578125" bestFit="1" customWidth="1"/>
    <col min="12" max="12" width="8.85546875" customWidth="1"/>
    <col min="13" max="14" width="11.42578125" bestFit="1" customWidth="1"/>
  </cols>
  <sheetData>
    <row r="2" spans="2:51" ht="25.5" customHeight="1">
      <c r="B2" s="18" t="s">
        <v>320</v>
      </c>
      <c r="C2" s="19"/>
      <c r="D2" s="19"/>
      <c r="E2" s="19"/>
      <c r="F2" s="19"/>
      <c r="G2" s="19"/>
      <c r="H2" s="19"/>
      <c r="I2" s="19"/>
      <c r="J2" s="19"/>
    </row>
    <row r="3" spans="2:51" ht="15.75" customHeight="1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</row>
    <row r="4" spans="2:51" ht="7.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</row>
    <row r="5" spans="2:51" ht="10.5" customHeight="1"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</row>
    <row r="6" spans="2:51" ht="9.75" customHeight="1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</row>
    <row r="7" spans="2:51" ht="9.75" customHeight="1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</row>
    <row r="8" spans="2:51" ht="6" customHeight="1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</row>
    <row r="9" spans="2:51" ht="22.5" customHeight="1">
      <c r="B9" s="7"/>
      <c r="C9" s="20">
        <f>C513</f>
        <v>2940</v>
      </c>
      <c r="D9" s="20"/>
      <c r="E9" s="20"/>
      <c r="F9" s="7"/>
      <c r="G9" s="20">
        <f>C556</f>
        <v>3860</v>
      </c>
      <c r="H9" s="20"/>
      <c r="I9" s="20"/>
      <c r="J9" s="20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</row>
    <row r="10" spans="2:51">
      <c r="B10" s="7"/>
      <c r="C10" s="20"/>
      <c r="D10" s="20"/>
      <c r="E10" s="20"/>
      <c r="F10" s="7"/>
      <c r="G10" s="20"/>
      <c r="H10" s="20"/>
      <c r="I10" s="20"/>
      <c r="J10" s="20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</row>
    <row r="11" spans="2:51" ht="6.75" customHeight="1">
      <c r="B11" s="7"/>
      <c r="C11" s="20"/>
      <c r="D11" s="20"/>
      <c r="E11" s="20"/>
      <c r="F11" s="7"/>
      <c r="G11" s="20"/>
      <c r="H11" s="20"/>
      <c r="I11" s="20"/>
      <c r="J11" s="20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</row>
    <row r="12" spans="2:51" ht="9" customHeight="1">
      <c r="B12" s="7"/>
      <c r="C12" s="20"/>
      <c r="D12" s="20"/>
      <c r="E12" s="20"/>
      <c r="F12" s="7"/>
      <c r="G12" s="20"/>
      <c r="H12" s="20"/>
      <c r="I12" s="20"/>
      <c r="J12" s="20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</row>
    <row r="13" spans="2:51" ht="15" customHeight="1">
      <c r="B13" s="7"/>
      <c r="C13" s="20"/>
      <c r="D13" s="20"/>
      <c r="E13" s="20"/>
      <c r="F13" s="7"/>
      <c r="G13" s="20"/>
      <c r="H13" s="20"/>
      <c r="I13" s="20"/>
      <c r="J13" s="20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</row>
    <row r="14" spans="2:51" ht="15" hidden="1" customHeight="1">
      <c r="B14" s="7"/>
      <c r="C14" s="20"/>
      <c r="D14" s="20"/>
      <c r="E14" s="2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</row>
    <row r="15" spans="2:51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</row>
    <row r="16" spans="2:51" ht="15" customHeight="1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</row>
    <row r="17" spans="2:51" ht="15" customHeight="1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</row>
    <row r="18" spans="2:51" ht="15" customHeight="1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</row>
    <row r="19" spans="2:51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</row>
    <row r="20" spans="2:51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</row>
    <row r="21" spans="2:51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</row>
    <row r="22" spans="2:51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</row>
    <row r="23" spans="2:51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</row>
    <row r="24" spans="2:51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</row>
    <row r="25" spans="2:51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</row>
    <row r="26" spans="2:51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</row>
    <row r="27" spans="2:51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</row>
    <row r="28" spans="2:51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</row>
    <row r="29" spans="2:51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</row>
    <row r="30" spans="2:51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</row>
    <row r="31" spans="2:51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  <c r="AX31" s="7"/>
      <c r="AY31" s="7"/>
    </row>
    <row r="32" spans="2:51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</row>
    <row r="33" spans="2:51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</row>
    <row r="34" spans="2:51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  <c r="AX34" s="7"/>
      <c r="AY34" s="7"/>
    </row>
    <row r="35" spans="2:51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  <c r="AX35" s="7"/>
      <c r="AY35" s="7"/>
    </row>
    <row r="36" spans="2:51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  <c r="AX36" s="7"/>
      <c r="AY36" s="7"/>
    </row>
    <row r="37" spans="2:51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</row>
    <row r="38" spans="2:51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</row>
    <row r="39" spans="2:51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</row>
    <row r="40" spans="2:51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</row>
    <row r="41" spans="2:51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</row>
    <row r="42" spans="2:51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</row>
    <row r="43" spans="2:51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</row>
    <row r="44" spans="2:51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</row>
    <row r="45" spans="2:51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</row>
    <row r="46" spans="2:51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</row>
    <row r="47" spans="2:51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</row>
    <row r="48" spans="2:51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</row>
    <row r="49" spans="2:51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</row>
    <row r="50" spans="2:51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</row>
    <row r="51" spans="2:51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</row>
    <row r="52" spans="2:51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</row>
    <row r="53" spans="2:51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</row>
    <row r="54" spans="2:51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</row>
    <row r="55" spans="2:51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</row>
    <row r="56" spans="2:51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</row>
    <row r="57" spans="2:51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</row>
    <row r="58" spans="2:51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</row>
    <row r="59" spans="2:51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</row>
    <row r="60" spans="2:51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</row>
    <row r="61" spans="2:51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</row>
    <row r="62" spans="2:51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</row>
    <row r="63" spans="2:51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</row>
    <row r="64" spans="2:51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</row>
    <row r="65" spans="2:51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</row>
    <row r="66" spans="2:51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</row>
    <row r="67" spans="2:51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</row>
    <row r="68" spans="2:51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</row>
    <row r="69" spans="2:51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</row>
    <row r="70" spans="2:51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</row>
    <row r="71" spans="2:51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</row>
    <row r="72" spans="2:51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</row>
    <row r="73" spans="2:51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</row>
    <row r="74" spans="2:51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</row>
    <row r="75" spans="2:51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</row>
    <row r="76" spans="2:51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</row>
    <row r="77" spans="2:51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</row>
    <row r="78" spans="2:51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</row>
    <row r="79" spans="2:51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</row>
    <row r="80" spans="2:51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</row>
    <row r="81" spans="2:51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</row>
    <row r="82" spans="2:51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</row>
    <row r="83" spans="2:51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</row>
    <row r="84" spans="2:51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</row>
    <row r="85" spans="2:51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</row>
    <row r="86" spans="2:51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</row>
    <row r="87" spans="2:51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</row>
    <row r="88" spans="2:51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</row>
    <row r="89" spans="2:51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</row>
    <row r="90" spans="2:51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</row>
    <row r="91" spans="2:51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</row>
    <row r="92" spans="2:51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</row>
    <row r="93" spans="2:51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</row>
    <row r="94" spans="2:51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</row>
    <row r="95" spans="2:51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</row>
    <row r="96" spans="2:51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</row>
    <row r="97" spans="2:51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</row>
    <row r="98" spans="2:51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</row>
    <row r="99" spans="2:51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</row>
    <row r="100" spans="2:51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</row>
    <row r="101" spans="2:51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</row>
    <row r="102" spans="2:51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</row>
    <row r="103" spans="2:51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</row>
    <row r="104" spans="2:51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</row>
    <row r="105" spans="2:51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</row>
    <row r="106" spans="2:51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</row>
    <row r="107" spans="2:51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</row>
    <row r="108" spans="2:51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</row>
    <row r="109" spans="2:51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</row>
    <row r="110" spans="2:51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</row>
    <row r="111" spans="2:51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</row>
    <row r="112" spans="2:51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</row>
    <row r="113" spans="2:51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</row>
    <row r="114" spans="2:51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</row>
    <row r="115" spans="2:51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</row>
    <row r="116" spans="2:51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</row>
    <row r="117" spans="2:51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</row>
    <row r="118" spans="2:51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</row>
    <row r="119" spans="2:51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</row>
    <row r="120" spans="2:51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</row>
    <row r="121" spans="2:51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</row>
    <row r="122" spans="2:51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</row>
    <row r="123" spans="2:51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</row>
    <row r="124" spans="2:51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</row>
    <row r="125" spans="2:51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</row>
    <row r="126" spans="2:51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</row>
    <row r="127" spans="2:51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</row>
    <row r="128" spans="2:51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</row>
    <row r="129" spans="2:51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</row>
    <row r="130" spans="2:51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</row>
    <row r="131" spans="2:51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</row>
    <row r="132" spans="2:51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</row>
    <row r="133" spans="2:51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</row>
    <row r="134" spans="2:51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</row>
    <row r="135" spans="2:51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</row>
    <row r="136" spans="2:51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</row>
    <row r="137" spans="2:51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</row>
    <row r="138" spans="2:51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</row>
    <row r="139" spans="2:51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</row>
    <row r="140" spans="2:51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</row>
    <row r="141" spans="2:51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</row>
    <row r="142" spans="2:51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</row>
    <row r="143" spans="2:51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</row>
    <row r="144" spans="2:51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</row>
    <row r="145" spans="2:51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</row>
    <row r="146" spans="2:51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</row>
    <row r="147" spans="2:51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</row>
    <row r="148" spans="2:51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</row>
    <row r="149" spans="2:51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</row>
    <row r="150" spans="2:51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</row>
    <row r="151" spans="2:51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</row>
    <row r="467" spans="2:4">
      <c r="B467" s="12" t="s">
        <v>17</v>
      </c>
      <c r="C467" s="12" t="s">
        <v>15</v>
      </c>
      <c r="D467" t="s">
        <v>321</v>
      </c>
    </row>
    <row r="468" spans="2:4">
      <c r="B468" t="s">
        <v>31</v>
      </c>
      <c r="C468" t="s">
        <v>30</v>
      </c>
      <c r="D468" s="13">
        <v>217</v>
      </c>
    </row>
    <row r="469" spans="2:4">
      <c r="C469" t="s">
        <v>26</v>
      </c>
      <c r="D469" s="13">
        <v>1522</v>
      </c>
    </row>
    <row r="470" spans="2:4">
      <c r="B470" t="s">
        <v>322</v>
      </c>
      <c r="D470" s="13">
        <v>1739</v>
      </c>
    </row>
    <row r="471" spans="2:4">
      <c r="B471" t="s">
        <v>27</v>
      </c>
      <c r="C471" t="s">
        <v>30</v>
      </c>
      <c r="D471" s="13">
        <v>2820</v>
      </c>
    </row>
    <row r="472" spans="2:4">
      <c r="C472" t="s">
        <v>26</v>
      </c>
      <c r="D472" s="13">
        <v>747</v>
      </c>
    </row>
    <row r="473" spans="2:4">
      <c r="B473" t="s">
        <v>314</v>
      </c>
      <c r="D473" s="13">
        <v>3567</v>
      </c>
    </row>
    <row r="474" spans="2:4">
      <c r="B474" t="s">
        <v>35</v>
      </c>
      <c r="C474" t="s">
        <v>30</v>
      </c>
      <c r="D474" s="13">
        <v>806</v>
      </c>
    </row>
    <row r="475" spans="2:4">
      <c r="C475" t="s">
        <v>26</v>
      </c>
      <c r="D475" s="13">
        <v>1502</v>
      </c>
    </row>
    <row r="476" spans="2:4">
      <c r="B476" t="s">
        <v>315</v>
      </c>
      <c r="D476" s="13">
        <v>2308</v>
      </c>
    </row>
    <row r="477" spans="2:4">
      <c r="B477" t="s">
        <v>316</v>
      </c>
      <c r="D477" s="13">
        <v>7614</v>
      </c>
    </row>
    <row r="509" spans="2:6">
      <c r="B509" s="12" t="s">
        <v>13</v>
      </c>
      <c r="C509" t="s">
        <v>319</v>
      </c>
    </row>
    <row r="510" spans="2:6">
      <c r="B510" t="s">
        <v>29</v>
      </c>
      <c r="C510" s="16">
        <v>0</v>
      </c>
    </row>
    <row r="511" spans="2:6">
      <c r="B511" t="s">
        <v>34</v>
      </c>
      <c r="C511" s="16">
        <v>0</v>
      </c>
    </row>
    <row r="512" spans="2:6">
      <c r="B512" t="s">
        <v>25</v>
      </c>
      <c r="C512" s="16">
        <v>2940</v>
      </c>
      <c r="E512">
        <f>C512</f>
        <v>2940</v>
      </c>
      <c r="F512" s="17"/>
    </row>
    <row r="513" spans="2:3">
      <c r="B513" t="s">
        <v>316</v>
      </c>
      <c r="C513" s="16">
        <v>2940</v>
      </c>
    </row>
    <row r="517" spans="2:3">
      <c r="B517" s="12" t="s">
        <v>17</v>
      </c>
      <c r="C517" t="s">
        <v>318</v>
      </c>
    </row>
    <row r="550" spans="2:3">
      <c r="B550" s="12" t="s">
        <v>17</v>
      </c>
      <c r="C550" t="s">
        <v>318</v>
      </c>
    </row>
    <row r="552" spans="2:3">
      <c r="B552" s="12" t="s">
        <v>13</v>
      </c>
      <c r="C552" t="s">
        <v>317</v>
      </c>
    </row>
    <row r="553" spans="2:3">
      <c r="B553" t="s">
        <v>29</v>
      </c>
      <c r="C553" s="13">
        <v>0</v>
      </c>
    </row>
    <row r="554" spans="2:3">
      <c r="B554" t="s">
        <v>34</v>
      </c>
      <c r="C554" s="13">
        <v>1900</v>
      </c>
    </row>
    <row r="555" spans="2:3">
      <c r="B555" t="s">
        <v>25</v>
      </c>
      <c r="C555" s="13">
        <v>1960</v>
      </c>
    </row>
    <row r="556" spans="2:3">
      <c r="B556" t="s">
        <v>316</v>
      </c>
      <c r="C556" s="13">
        <v>3860</v>
      </c>
    </row>
  </sheetData>
  <sheetProtection sheet="1" objects="1" scenarios="1" formatCells="0"/>
  <mergeCells count="3">
    <mergeCell ref="B2:J2"/>
    <mergeCell ref="C9:E14"/>
    <mergeCell ref="G9:J13"/>
  </mergeCells>
  <pageMargins left="0.511811024" right="0.511811024" top="0.78740157499999996" bottom="0.78740157499999996" header="0.31496062000000002" footer="0.31496062000000002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/>
</file>

<file path=customXml/itemProps2.xml><?xml version="1.0" encoding="utf-8"?>
<ds:datastoreItem xmlns:ds="http://schemas.openxmlformats.org/officeDocument/2006/customXml" ds:itemID="{E3B4D9D5-B351-46EB-A728-C3362FE437D4}"/>
</file>

<file path=customXml/itemProps3.xml><?xml version="1.0" encoding="utf-8"?>
<ds:datastoreItem xmlns:ds="http://schemas.openxmlformats.org/officeDocument/2006/customXml" ds:itemID="{32608D25-EC36-42FE-A1DC-F778995A679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/>
  <cp:revision/>
  <dcterms:created xsi:type="dcterms:W3CDTF">2024-12-19T13:13:10Z</dcterms:created>
  <dcterms:modified xsi:type="dcterms:W3CDTF">2026-04-20T23:36:38Z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